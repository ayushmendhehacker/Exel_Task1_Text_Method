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yush\OneDrive\Desktop\Data Analytics\Exel\Tasks\Exel_Task1\"/>
    </mc:Choice>
  </mc:AlternateContent>
  <xr:revisionPtr revIDLastSave="0" documentId="13_ncr:1_{116C9E6C-33FC-46A9-8010-E29DC6AF1A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xt_Metho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15" i="1" l="1"/>
  <c r="O114" i="1"/>
  <c r="O113" i="1"/>
  <c r="O112" i="1"/>
  <c r="O111" i="1"/>
  <c r="O109" i="1"/>
  <c r="O108" i="1"/>
  <c r="O107" i="1"/>
  <c r="O106" i="1"/>
  <c r="O105" i="1"/>
  <c r="O103" i="1"/>
  <c r="O102" i="1"/>
  <c r="O101" i="1"/>
  <c r="O100" i="1"/>
  <c r="O99" i="1"/>
  <c r="O97" i="1"/>
  <c r="O96" i="1"/>
  <c r="O95" i="1"/>
  <c r="O94" i="1"/>
  <c r="O93" i="1"/>
  <c r="O91" i="1"/>
  <c r="O90" i="1"/>
  <c r="O89" i="1"/>
  <c r="O88" i="1"/>
  <c r="O87" i="1"/>
  <c r="O85" i="1"/>
  <c r="O84" i="1"/>
  <c r="O83" i="1"/>
  <c r="O82" i="1"/>
  <c r="O81" i="1"/>
  <c r="O79" i="1"/>
  <c r="O78" i="1"/>
  <c r="O77" i="1"/>
  <c r="O76" i="1"/>
  <c r="O75" i="1"/>
  <c r="O73" i="1"/>
  <c r="O72" i="1"/>
  <c r="O71" i="1"/>
  <c r="O70" i="1"/>
  <c r="O69" i="1"/>
  <c r="O67" i="1"/>
  <c r="O66" i="1"/>
  <c r="O65" i="1"/>
  <c r="O64" i="1"/>
  <c r="O63" i="1"/>
  <c r="O61" i="1"/>
  <c r="O60" i="1"/>
  <c r="O59" i="1"/>
  <c r="O58" i="1"/>
  <c r="O57" i="1"/>
  <c r="O55" i="1"/>
  <c r="O54" i="1"/>
  <c r="O53" i="1"/>
  <c r="O52" i="1"/>
  <c r="O51" i="1"/>
  <c r="O49" i="1"/>
  <c r="O48" i="1"/>
  <c r="O47" i="1"/>
  <c r="O46" i="1"/>
  <c r="O45" i="1"/>
  <c r="O43" i="1"/>
  <c r="O42" i="1"/>
  <c r="O41" i="1"/>
  <c r="O40" i="1"/>
  <c r="O39" i="1"/>
  <c r="O37" i="1"/>
  <c r="O36" i="1"/>
  <c r="O35" i="1"/>
  <c r="O34" i="1"/>
  <c r="O33" i="1"/>
  <c r="K31" i="1"/>
  <c r="O31" i="1" s="1"/>
  <c r="K30" i="1"/>
  <c r="O30" i="1" s="1"/>
  <c r="K29" i="1"/>
  <c r="O29" i="1" s="1"/>
  <c r="K28" i="1"/>
  <c r="O28" i="1" s="1"/>
  <c r="K27" i="1"/>
  <c r="O27" i="1" s="1"/>
  <c r="O25" i="1"/>
  <c r="O24" i="1"/>
  <c r="O23" i="1"/>
  <c r="O22" i="1"/>
  <c r="O21" i="1"/>
  <c r="O19" i="1"/>
  <c r="O18" i="1"/>
  <c r="O17" i="1"/>
  <c r="O16" i="1"/>
  <c r="O15" i="1"/>
  <c r="O13" i="1"/>
  <c r="O12" i="1"/>
  <c r="O11" i="1"/>
  <c r="O10" i="1"/>
  <c r="O9" i="1"/>
</calcChain>
</file>

<file path=xl/sharedStrings.xml><?xml version="1.0" encoding="utf-8"?>
<sst xmlns="http://schemas.openxmlformats.org/spreadsheetml/2006/main" count="215" uniqueCount="175">
  <si>
    <t>Ayush_Mendhe_DA30</t>
  </si>
  <si>
    <t>Text Functions in Exel</t>
  </si>
  <si>
    <r>
      <rPr>
        <sz val="11"/>
        <color rgb="FF1155CC"/>
        <rFont val="Arial"/>
        <family val="2"/>
      </rPr>
      <t>Sr.No</t>
    </r>
    <r>
      <rPr>
        <sz val="11"/>
        <rFont val="Arial"/>
        <family val="2"/>
      </rPr>
      <t>.</t>
    </r>
  </si>
  <si>
    <t>Method</t>
  </si>
  <si>
    <t>Syntax</t>
  </si>
  <si>
    <t>Data</t>
  </si>
  <si>
    <t>Formula</t>
  </si>
  <si>
    <t>Output</t>
  </si>
  <si>
    <t>CHAR</t>
  </si>
  <si>
    <t>CHAR(table_number)</t>
  </si>
  <si>
    <t>CHAR(97)</t>
  </si>
  <si>
    <t>CHAR(121)</t>
  </si>
  <si>
    <t>CHAR(117)</t>
  </si>
  <si>
    <t>CHAR(115)</t>
  </si>
  <si>
    <t>CHAR(104)</t>
  </si>
  <si>
    <t>JOIN/CONCAT</t>
  </si>
  <si>
    <t>CONCAT(value1, value2)</t>
  </si>
  <si>
    <t xml:space="preserve"> </t>
  </si>
  <si>
    <t>CONCAT(H15,H19)</t>
  </si>
  <si>
    <t>JOIN(delimiter, value_or_array1, [value_or_array2, …])</t>
  </si>
  <si>
    <t>ARC</t>
  </si>
  <si>
    <t>JOIN("-",H16,H17,H18)</t>
  </si>
  <si>
    <t>Nagpur</t>
  </si>
  <si>
    <t>JOIN("_",H15,H19,H18)</t>
  </si>
  <si>
    <t>DA30</t>
  </si>
  <si>
    <t>JOIN("",H15,H19,H17)</t>
  </si>
  <si>
    <t>XYZ</t>
  </si>
  <si>
    <t>JOIN(" ",H15,H16,H18)</t>
  </si>
  <si>
    <t>TEXTJOIN</t>
  </si>
  <si>
    <t>TEXTJOIN(delimiter, ignore_empty, text1, [text2, …])</t>
  </si>
  <si>
    <t>TEXTJOIN("-",,H21,H25,H24)</t>
  </si>
  <si>
    <t>TEXTJOIN("_",0,H22,H23,H24)</t>
  </si>
  <si>
    <t>TEXTJOIN(" ",1,H22,H21,H23)</t>
  </si>
  <si>
    <t>TEXTJOIN("-",0,H22,H23,H21,H24)</t>
  </si>
  <si>
    <t>TEXTJOIN("_",0,H22,H23,H21,H24)</t>
  </si>
  <si>
    <t>CLEAN</t>
  </si>
  <si>
    <t>CLEAN(text)</t>
  </si>
  <si>
    <t>CLEAN(H27)</t>
  </si>
  <si>
    <t>CLEAN(H28)</t>
  </si>
  <si>
    <t>CLEAN(H29)</t>
  </si>
  <si>
    <t>CLEAN(H30)</t>
  </si>
  <si>
    <t>CLEAN(H31)</t>
  </si>
  <si>
    <t>TRIM</t>
  </si>
  <si>
    <t>TRIM(text)</t>
  </si>
  <si>
    <t>Ayush     Mendhe</t>
  </si>
  <si>
    <t>TRIM(H33)</t>
  </si>
  <si>
    <t xml:space="preserve">      Data Analytics</t>
  </si>
  <si>
    <t>TRIM(J34)</t>
  </si>
  <si>
    <t xml:space="preserve">    ARC    Nagpur</t>
  </si>
  <si>
    <t>TRIM(J35)</t>
  </si>
  <si>
    <t xml:space="preserve">                DA  30    </t>
  </si>
  <si>
    <t>TRIM(J36)</t>
  </si>
  <si>
    <t xml:space="preserve">    Abc   Xyz   </t>
  </si>
  <si>
    <t>TRIM(J37)</t>
  </si>
  <si>
    <t>FIND</t>
  </si>
  <si>
    <t>FIND(search_for, text_to_search, [starting_at])</t>
  </si>
  <si>
    <t>Dashboard</t>
  </si>
  <si>
    <t>FIND("a",J39,4)</t>
  </si>
  <si>
    <t>FIND("a",J40,1)</t>
  </si>
  <si>
    <t>Google</t>
  </si>
  <si>
    <t>FIND("go",J41,1)</t>
  </si>
  <si>
    <t>google</t>
  </si>
  <si>
    <t>FIND("go",J42,1)</t>
  </si>
  <si>
    <t>Tata Salt</t>
  </si>
  <si>
    <t>FIND("ta",J43,2)</t>
  </si>
  <si>
    <t>SEARCH</t>
  </si>
  <si>
    <t>SEARCH(search_for, text_to_search, [starting_at])</t>
  </si>
  <si>
    <t>SEARCH("go",J45,1)</t>
  </si>
  <si>
    <t>SEARCH("go",J46,1)</t>
  </si>
  <si>
    <t>GOOGLE</t>
  </si>
  <si>
    <t>SEARCH("go",J47,2)</t>
  </si>
  <si>
    <t>Microprocessor</t>
  </si>
  <si>
    <t>SEARCH("ro",J48,3)</t>
  </si>
  <si>
    <t>SEARCH("ro",J49,5)</t>
  </si>
  <si>
    <t>REPLACE</t>
  </si>
  <si>
    <t>REPLACE(text, position, length, new_text)</t>
  </si>
  <si>
    <t>Ayush-ARC1</t>
  </si>
  <si>
    <t>REPLACE(J51,2,4,"a")</t>
  </si>
  <si>
    <t>Banana</t>
  </si>
  <si>
    <t>REPLACE(J52,2,4,"ta")</t>
  </si>
  <si>
    <t>REPLACE(J53,3,4,"ta")</t>
  </si>
  <si>
    <t>REPLACE(J54,3,2,"ta")</t>
  </si>
  <si>
    <t>ARC-DA28</t>
  </si>
  <si>
    <t>REPLACE(J55,7,2,"30")</t>
  </si>
  <si>
    <t>SUBSTITUTE</t>
  </si>
  <si>
    <t>SUBSTITUTE(text_to_search, search_for, replace_with, [occurrence_number])</t>
  </si>
  <si>
    <t>SUBSTITUTE(J57,"ARC","Arc")</t>
  </si>
  <si>
    <t>SUBSTITUTE(J58,"na","ta")</t>
  </si>
  <si>
    <t>SUBSTITUTE(J59,"na","ta",1)</t>
  </si>
  <si>
    <t>SUBSTITUTE(J60,"na","Sta",2)</t>
  </si>
  <si>
    <t>SUBSTITUTE(J61,28,"30",)</t>
  </si>
  <si>
    <t>EXACT</t>
  </si>
  <si>
    <t>EXACT(string1, string2)</t>
  </si>
  <si>
    <t>Arc</t>
  </si>
  <si>
    <t>EXACT(J63,J65)</t>
  </si>
  <si>
    <t xml:space="preserve"> Arc </t>
  </si>
  <si>
    <t>EXACT(J64,J67)</t>
  </si>
  <si>
    <t>EXACT(J65,J66)</t>
  </si>
  <si>
    <t xml:space="preserve">Arc </t>
  </si>
  <si>
    <t>EXACT(J66,J63)</t>
  </si>
  <si>
    <t xml:space="preserve"> Arc</t>
  </si>
  <si>
    <t>LEFT</t>
  </si>
  <si>
    <t>LEFT(string, [number_of_characters])</t>
  </si>
  <si>
    <t>LEFT(J69,2)</t>
  </si>
  <si>
    <t>LEFT(J70,5)</t>
  </si>
  <si>
    <t>Ayush</t>
  </si>
  <si>
    <t>LEFT(J71)</t>
  </si>
  <si>
    <t>Aayush-ARC123</t>
  </si>
  <si>
    <t>LEFT(J72,6)</t>
  </si>
  <si>
    <t>Multiprocesssor</t>
  </si>
  <si>
    <t>LEFT(J73,5)</t>
  </si>
  <si>
    <t>RIGHT</t>
  </si>
  <si>
    <t>RIGHT(string, [number_of_characters])</t>
  </si>
  <si>
    <t>RIGHT(J75,10)</t>
  </si>
  <si>
    <t>GooglePixel</t>
  </si>
  <si>
    <t>RIGHT(J76,5)</t>
  </si>
  <si>
    <t>RIGHT(J77)</t>
  </si>
  <si>
    <t>RIGHT(J78,6)</t>
  </si>
  <si>
    <t>MultiBillinaire</t>
  </si>
  <si>
    <t>RIGHT(J79,10)</t>
  </si>
  <si>
    <t>MID</t>
  </si>
  <si>
    <t>MID(string, starting_at, extract_length)</t>
  </si>
  <si>
    <t>MID(J81,2,2)</t>
  </si>
  <si>
    <t>MID(J82,3,2)</t>
  </si>
  <si>
    <t>MID(J83,6,7)</t>
  </si>
  <si>
    <t>Ayush-ARC</t>
  </si>
  <si>
    <t>MID(J84,4,5)</t>
  </si>
  <si>
    <t xml:space="preserve"> Ayush 123 .</t>
  </si>
  <si>
    <t>MID(J85,2,15)</t>
  </si>
  <si>
    <t>LEN</t>
  </si>
  <si>
    <t>LEN(text)</t>
  </si>
  <si>
    <t>LEN(J87)</t>
  </si>
  <si>
    <t>LEN(J88)</t>
  </si>
  <si>
    <t>LEN(J89)</t>
  </si>
  <si>
    <t>Abcd123</t>
  </si>
  <si>
    <t>LEN(J90)</t>
  </si>
  <si>
    <t>Ayush - DA30</t>
  </si>
  <si>
    <t>LEN(J91)</t>
  </si>
  <si>
    <t>UPPER</t>
  </si>
  <si>
    <t>UPPER(text)</t>
  </si>
  <si>
    <t>UPPER(J93)</t>
  </si>
  <si>
    <t>AbCd</t>
  </si>
  <si>
    <t>(UPPERJ94)</t>
  </si>
  <si>
    <t>xyz</t>
  </si>
  <si>
    <t>UPPER(J95)</t>
  </si>
  <si>
    <t>QRst</t>
  </si>
  <si>
    <t>UPPER(J96)</t>
  </si>
  <si>
    <t>mnOP</t>
  </si>
  <si>
    <t>UPPER(J97)</t>
  </si>
  <si>
    <t>LOWER</t>
  </si>
  <si>
    <t>LOWER(text)</t>
  </si>
  <si>
    <t>LOWER(J99)</t>
  </si>
  <si>
    <t>LOWER(J100)</t>
  </si>
  <si>
    <t>LOWER(J101)</t>
  </si>
  <si>
    <t>LOWER(J102)</t>
  </si>
  <si>
    <t>LOWER(J103)</t>
  </si>
  <si>
    <t>PROPER</t>
  </si>
  <si>
    <t>PROPER(text_to_capitalise)</t>
  </si>
  <si>
    <t>PROPER(J105)</t>
  </si>
  <si>
    <t>PROPER(J106)</t>
  </si>
  <si>
    <t>PROPER(J107)</t>
  </si>
  <si>
    <t>PROPER(J108)</t>
  </si>
  <si>
    <t>PROPER(J109)</t>
  </si>
  <si>
    <t>REPT</t>
  </si>
  <si>
    <t>REPT(text_to_repeat, number_of_repetitions)</t>
  </si>
  <si>
    <t xml:space="preserve"> ARC </t>
  </si>
  <si>
    <t>REPT(J111,3)</t>
  </si>
  <si>
    <t>Abc</t>
  </si>
  <si>
    <t>REPT(J112,3)</t>
  </si>
  <si>
    <t>Zyx</t>
  </si>
  <si>
    <t>REPT(J113,5)</t>
  </si>
  <si>
    <t xml:space="preserve">Mno </t>
  </si>
  <si>
    <t>REPT(J114,4)</t>
  </si>
  <si>
    <t xml:space="preserve"> Pqr</t>
  </si>
  <si>
    <t>REPT(J115,4)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</si>
</sst>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FF"/>
      <name val="Arial"/>
      <family val="2"/>
    </font>
    <font>
      <sz val="11"/>
      <color rgb="FF1155CC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color rgb="FF1F1F1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2" fillId="0" borderId="6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7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0" fillId="0" borderId="0" xfId="0"/>
    <xf numFmtId="0" fontId="1" fillId="0" borderId="13" xfId="0" applyFont="1" applyBorder="1" applyAlignment="1">
      <alignment horizontal="left" vertical="top"/>
    </xf>
    <xf numFmtId="0" fontId="6" fillId="0" borderId="12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6" fillId="0" borderId="15" xfId="0" applyFont="1" applyBorder="1"/>
    <xf numFmtId="0" fontId="1" fillId="0" borderId="17" xfId="0" applyFont="1" applyBorder="1" applyAlignment="1">
      <alignment horizontal="left" vertical="top"/>
    </xf>
    <xf numFmtId="0" fontId="6" fillId="0" borderId="16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0" xfId="0" applyFont="1"/>
    <xf numFmtId="0" fontId="0" fillId="0" borderId="6" xfId="0" applyBorder="1"/>
    <xf numFmtId="0" fontId="1" fillId="0" borderId="8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6" fillId="0" borderId="0" xfId="0" applyFont="1"/>
    <xf numFmtId="0" fontId="1" fillId="0" borderId="20" xfId="0" applyFont="1" applyBorder="1"/>
    <xf numFmtId="0" fontId="0" fillId="0" borderId="21" xfId="0" applyBorder="1"/>
    <xf numFmtId="0" fontId="6" fillId="0" borderId="22" xfId="0" applyFont="1" applyBorder="1"/>
    <xf numFmtId="0" fontId="1" fillId="0" borderId="23" xfId="0" applyFont="1" applyBorder="1"/>
    <xf numFmtId="0" fontId="7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top"/>
    </xf>
    <xf numFmtId="0" fontId="1" fillId="0" borderId="24" xfId="0" applyFont="1" applyBorder="1"/>
    <xf numFmtId="0" fontId="1" fillId="0" borderId="25" xfId="0" applyFont="1" applyBorder="1"/>
    <xf numFmtId="0" fontId="1" fillId="0" borderId="16" xfId="0" applyFont="1" applyBorder="1" applyAlignment="1">
      <alignment horizontal="left" vertical="top"/>
    </xf>
    <xf numFmtId="0" fontId="1" fillId="0" borderId="24" xfId="0" applyFont="1" applyBorder="1"/>
    <xf numFmtId="0" fontId="6" fillId="0" borderId="6" xfId="0" applyFont="1" applyBorder="1"/>
    <xf numFmtId="0" fontId="8" fillId="0" borderId="7" xfId="0" applyFont="1" applyBorder="1" applyAlignment="1">
      <alignment horizontal="left" vertical="center"/>
    </xf>
    <xf numFmtId="0" fontId="1" fillId="0" borderId="26" xfId="0" applyFont="1" applyBorder="1"/>
    <xf numFmtId="0" fontId="1" fillId="0" borderId="27" xfId="0" applyFont="1" applyBorder="1"/>
    <xf numFmtId="0" fontId="6" fillId="0" borderId="28" xfId="0" applyFont="1" applyBorder="1"/>
    <xf numFmtId="0" fontId="1" fillId="0" borderId="27" xfId="0" applyFont="1" applyBorder="1" applyAlignment="1">
      <alignment horizontal="left" vertical="top"/>
    </xf>
    <xf numFmtId="0" fontId="1" fillId="0" borderId="28" xfId="0" applyFont="1" applyBorder="1"/>
    <xf numFmtId="0" fontId="1" fillId="0" borderId="29" xfId="0" applyFont="1" applyBorder="1"/>
    <xf numFmtId="0" fontId="2" fillId="0" borderId="30" xfId="0" applyFont="1" applyBorder="1"/>
    <xf numFmtId="0" fontId="2" fillId="0" borderId="31" xfId="0" applyFont="1" applyBorder="1"/>
    <xf numFmtId="0" fontId="2" fillId="0" borderId="32" xfId="0" applyFont="1" applyBorder="1"/>
    <xf numFmtId="0" fontId="2" fillId="0" borderId="3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16"/>
  <sheetViews>
    <sheetView tabSelected="1" workbookViewId="0">
      <selection activeCell="B8" sqref="B8"/>
    </sheetView>
  </sheetViews>
  <sheetFormatPr defaultRowHeight="14.4" x14ac:dyDescent="0.3"/>
  <cols>
    <col min="3" max="3" width="13.33203125" customWidth="1"/>
    <col min="6" max="6" width="4.33203125" bestFit="1" customWidth="1"/>
    <col min="7" max="7" width="14.44140625" customWidth="1"/>
    <col min="8" max="8" width="4.33203125" bestFit="1" customWidth="1"/>
    <col min="9" max="9" width="65.6640625" bestFit="1" customWidth="1"/>
    <col min="10" max="10" width="4.33203125" bestFit="1" customWidth="1"/>
    <col min="11" max="11" width="16.6640625" bestFit="1" customWidth="1"/>
    <col min="12" max="12" width="4.33203125" bestFit="1" customWidth="1"/>
    <col min="13" max="13" width="29.109375" bestFit="1" customWidth="1"/>
    <col min="14" max="14" width="4.33203125" bestFit="1" customWidth="1"/>
    <col min="15" max="15" width="18.21875" bestFit="1" customWidth="1"/>
  </cols>
  <sheetData>
    <row r="1" spans="2:16" x14ac:dyDescent="0.3">
      <c r="B1" s="1" t="s">
        <v>0</v>
      </c>
    </row>
    <row r="2" spans="2:16" x14ac:dyDescent="0.3">
      <c r="B2" s="1"/>
    </row>
    <row r="3" spans="2:16" x14ac:dyDescent="0.3">
      <c r="B3" s="1" t="s">
        <v>1</v>
      </c>
    </row>
    <row r="6" spans="2:16" ht="15" thickBot="1" x14ac:dyDescent="0.35"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2:16" ht="15" thickBot="1" x14ac:dyDescent="0.35">
      <c r="D7" s="2"/>
      <c r="E7" s="3" t="s">
        <v>2</v>
      </c>
      <c r="F7" s="4"/>
      <c r="G7" s="5" t="s">
        <v>3</v>
      </c>
      <c r="H7" s="6"/>
      <c r="I7" s="6" t="s">
        <v>4</v>
      </c>
      <c r="J7" s="6"/>
      <c r="K7" s="6" t="s">
        <v>5</v>
      </c>
      <c r="L7" s="6"/>
      <c r="M7" s="6" t="s">
        <v>6</v>
      </c>
      <c r="N7" s="6"/>
      <c r="O7" s="7" t="s">
        <v>7</v>
      </c>
      <c r="P7" s="2"/>
    </row>
    <row r="8" spans="2:16" x14ac:dyDescent="0.3">
      <c r="D8" s="8"/>
      <c r="E8" s="1"/>
      <c r="F8" s="1"/>
      <c r="G8" s="1"/>
      <c r="H8" s="1"/>
      <c r="I8" s="1"/>
      <c r="J8" s="1"/>
      <c r="K8" s="1"/>
      <c r="L8" s="1"/>
      <c r="M8" s="1"/>
      <c r="N8" s="1"/>
      <c r="O8" s="9"/>
      <c r="P8" s="2"/>
    </row>
    <row r="9" spans="2:16" x14ac:dyDescent="0.3">
      <c r="D9" s="8"/>
      <c r="E9" s="10">
        <v>1.1000000000000001</v>
      </c>
      <c r="F9" s="11"/>
      <c r="G9" s="12" t="s">
        <v>8</v>
      </c>
      <c r="H9" s="13"/>
      <c r="I9" s="14" t="s">
        <v>9</v>
      </c>
      <c r="J9" s="15"/>
      <c r="K9" s="10">
        <v>97</v>
      </c>
      <c r="L9" s="11"/>
      <c r="M9" s="10" t="s">
        <v>10</v>
      </c>
      <c r="N9" s="11"/>
      <c r="O9" s="16" t="str">
        <f>CHAR(97)</f>
        <v>a</v>
      </c>
      <c r="P9" s="2"/>
    </row>
    <row r="10" spans="2:16" x14ac:dyDescent="0.3">
      <c r="D10" s="8"/>
      <c r="E10" s="1">
        <v>1.2</v>
      </c>
      <c r="F10" s="17"/>
      <c r="G10" s="18"/>
      <c r="H10" s="19"/>
      <c r="I10" s="20"/>
      <c r="J10" s="21"/>
      <c r="K10" s="1">
        <v>121</v>
      </c>
      <c r="L10" s="17"/>
      <c r="M10" s="1" t="s">
        <v>11</v>
      </c>
      <c r="N10" s="17"/>
      <c r="O10" s="9" t="str">
        <f>CHAR(121)</f>
        <v>y</v>
      </c>
      <c r="P10" s="2"/>
    </row>
    <row r="11" spans="2:16" x14ac:dyDescent="0.3">
      <c r="D11" s="8"/>
      <c r="E11" s="1">
        <v>1.3</v>
      </c>
      <c r="F11" s="17"/>
      <c r="G11" s="18"/>
      <c r="H11" s="19"/>
      <c r="I11" s="20"/>
      <c r="J11" s="21"/>
      <c r="K11" s="1">
        <v>117</v>
      </c>
      <c r="L11" s="17"/>
      <c r="M11" s="1" t="s">
        <v>12</v>
      </c>
      <c r="N11" s="17"/>
      <c r="O11" s="9" t="str">
        <f>CHAR(117)</f>
        <v>u</v>
      </c>
      <c r="P11" s="2"/>
    </row>
    <row r="12" spans="2:16" x14ac:dyDescent="0.3">
      <c r="D12" s="8"/>
      <c r="E12" s="1">
        <v>1.4</v>
      </c>
      <c r="F12" s="17"/>
      <c r="G12" s="18"/>
      <c r="H12" s="19"/>
      <c r="I12" s="20"/>
      <c r="J12" s="21"/>
      <c r="K12" s="1">
        <v>115</v>
      </c>
      <c r="L12" s="17"/>
      <c r="M12" s="1" t="s">
        <v>13</v>
      </c>
      <c r="N12" s="17"/>
      <c r="O12" s="9" t="str">
        <f>CHAR(115)</f>
        <v>s</v>
      </c>
      <c r="P12" s="2"/>
    </row>
    <row r="13" spans="2:16" x14ac:dyDescent="0.3">
      <c r="D13" s="8"/>
      <c r="E13" s="22">
        <v>1.5</v>
      </c>
      <c r="F13" s="23"/>
      <c r="G13" s="24"/>
      <c r="H13" s="25"/>
      <c r="I13" s="26"/>
      <c r="J13" s="27"/>
      <c r="K13" s="22">
        <v>104</v>
      </c>
      <c r="L13" s="23"/>
      <c r="M13" s="22" t="s">
        <v>14</v>
      </c>
      <c r="N13" s="23"/>
      <c r="O13" s="28" t="str">
        <f>CHAR(104)</f>
        <v>h</v>
      </c>
      <c r="P13" s="2"/>
    </row>
    <row r="14" spans="2:16" x14ac:dyDescent="0.3">
      <c r="D14" s="8"/>
      <c r="E14" s="29"/>
      <c r="F14" s="18"/>
      <c r="G14" s="18"/>
      <c r="H14" s="18"/>
      <c r="I14" s="18"/>
      <c r="J14" s="18"/>
      <c r="K14" s="18"/>
      <c r="L14" s="18"/>
      <c r="M14" s="18"/>
      <c r="N14" s="18"/>
      <c r="O14" s="30"/>
      <c r="P14" s="2"/>
    </row>
    <row r="15" spans="2:16" x14ac:dyDescent="0.3">
      <c r="D15" s="8"/>
      <c r="E15" s="10">
        <v>2.1</v>
      </c>
      <c r="F15" s="11"/>
      <c r="G15" s="12" t="s">
        <v>15</v>
      </c>
      <c r="H15" s="31"/>
      <c r="I15" s="32" t="s">
        <v>16</v>
      </c>
      <c r="J15" s="11"/>
      <c r="K15" s="10" t="s">
        <v>17</v>
      </c>
      <c r="L15" s="11"/>
      <c r="M15" s="10" t="s">
        <v>18</v>
      </c>
      <c r="N15" s="11"/>
      <c r="O15" s="16" t="str">
        <f>_xlfn.CONCAT(K15,K19)</f>
        <v xml:space="preserve"> XYZ</v>
      </c>
      <c r="P15" s="2"/>
    </row>
    <row r="16" spans="2:16" x14ac:dyDescent="0.3">
      <c r="D16" s="8"/>
      <c r="E16" s="1">
        <v>2.2000000000000002</v>
      </c>
      <c r="F16" s="17"/>
      <c r="G16" s="18"/>
      <c r="H16" s="33"/>
      <c r="I16" s="34" t="s">
        <v>19</v>
      </c>
      <c r="J16" s="17"/>
      <c r="K16" s="1" t="s">
        <v>20</v>
      </c>
      <c r="L16" s="17"/>
      <c r="M16" s="1" t="s">
        <v>21</v>
      </c>
      <c r="N16" s="17"/>
      <c r="O16" s="9" t="str">
        <f ca="1">IFERROR(__xludf.DUMMYFUNCTION("JOIN(""-"",J16,J17,J18)"),"ARC-Nagpur-DA30")</f>
        <v>ARC-Nagpur-DA30</v>
      </c>
      <c r="P16" s="2"/>
    </row>
    <row r="17" spans="4:16" x14ac:dyDescent="0.3">
      <c r="D17" s="8"/>
      <c r="E17" s="1">
        <v>2.2999999999999998</v>
      </c>
      <c r="F17" s="17"/>
      <c r="G17" s="18"/>
      <c r="H17" s="33"/>
      <c r="I17" s="18"/>
      <c r="J17" s="17"/>
      <c r="K17" s="1" t="s">
        <v>22</v>
      </c>
      <c r="L17" s="17"/>
      <c r="M17" s="1" t="s">
        <v>23</v>
      </c>
      <c r="N17" s="17"/>
      <c r="O17" s="9" t="str">
        <f ca="1">IFERROR(__xludf.DUMMYFUNCTION("JOIN(""_"",J15,J19,J18)")," _XYZ_DA30")</f>
        <v xml:space="preserve"> _XYZ_DA30</v>
      </c>
      <c r="P17" s="2"/>
    </row>
    <row r="18" spans="4:16" x14ac:dyDescent="0.3">
      <c r="D18" s="8"/>
      <c r="E18" s="1">
        <v>2.4</v>
      </c>
      <c r="F18" s="17"/>
      <c r="G18" s="18"/>
      <c r="H18" s="33"/>
      <c r="I18" s="18"/>
      <c r="J18" s="17"/>
      <c r="K18" s="1" t="s">
        <v>24</v>
      </c>
      <c r="L18" s="17"/>
      <c r="M18" s="1" t="s">
        <v>25</v>
      </c>
      <c r="N18" s="17"/>
      <c r="O18" s="9" t="str">
        <f ca="1">IFERROR(__xludf.DUMMYFUNCTION("JOIN("""",J15,J19,J17)")," XYZNagpur")</f>
        <v xml:space="preserve"> XYZNagpur</v>
      </c>
      <c r="P18" s="2"/>
    </row>
    <row r="19" spans="4:16" x14ac:dyDescent="0.3">
      <c r="D19" s="8"/>
      <c r="E19" s="1">
        <v>2.5</v>
      </c>
      <c r="F19" s="17"/>
      <c r="G19" s="35"/>
      <c r="H19" s="33"/>
      <c r="I19" s="35"/>
      <c r="J19" s="17"/>
      <c r="K19" s="1" t="s">
        <v>26</v>
      </c>
      <c r="L19" s="17"/>
      <c r="M19" s="1" t="s">
        <v>27</v>
      </c>
      <c r="N19" s="17"/>
      <c r="O19" s="9" t="str">
        <f ca="1">IFERROR(__xludf.DUMMYFUNCTION("JOIN("" "",J15,J16,J18)"),"  ARC DA30")</f>
        <v xml:space="preserve">  ARC DA30</v>
      </c>
      <c r="P19" s="2"/>
    </row>
    <row r="20" spans="4:16" x14ac:dyDescent="0.3">
      <c r="D20" s="2"/>
      <c r="E20" s="36"/>
      <c r="F20" s="37"/>
      <c r="G20" s="37"/>
      <c r="H20" s="37"/>
      <c r="I20" s="37"/>
      <c r="J20" s="37"/>
      <c r="K20" s="37"/>
      <c r="L20" s="37"/>
      <c r="M20" s="37"/>
      <c r="N20" s="37"/>
      <c r="O20" s="38"/>
      <c r="P20" s="2"/>
    </row>
    <row r="21" spans="4:16" x14ac:dyDescent="0.3">
      <c r="D21" s="2"/>
      <c r="E21" s="39">
        <v>3.1</v>
      </c>
      <c r="F21" s="11"/>
      <c r="G21" s="40" t="s">
        <v>28</v>
      </c>
      <c r="H21" s="31"/>
      <c r="I21" s="41" t="s">
        <v>29</v>
      </c>
      <c r="J21" s="11"/>
      <c r="K21" s="10" t="s">
        <v>17</v>
      </c>
      <c r="L21" s="11"/>
      <c r="M21" s="10" t="s">
        <v>30</v>
      </c>
      <c r="N21" s="11"/>
      <c r="O21" s="16" t="str">
        <f>_xlfn.TEXTJOIN("-",,K21,K25,K24)</f>
        <v xml:space="preserve"> -XYZ-DA30</v>
      </c>
      <c r="P21" s="2"/>
    </row>
    <row r="22" spans="4:16" x14ac:dyDescent="0.3">
      <c r="D22" s="2"/>
      <c r="E22" s="42">
        <v>3.2</v>
      </c>
      <c r="F22" s="17"/>
      <c r="G22" s="18"/>
      <c r="H22" s="33"/>
      <c r="I22" s="18"/>
      <c r="J22" s="17"/>
      <c r="K22" s="1" t="s">
        <v>20</v>
      </c>
      <c r="L22" s="17"/>
      <c r="M22" s="1" t="s">
        <v>31</v>
      </c>
      <c r="N22" s="17"/>
      <c r="O22" s="9" t="str">
        <f>_xlfn.TEXTJOIN("_",0,K22,K23,K24)</f>
        <v>ARC_Nagpur_DA30</v>
      </c>
      <c r="P22" s="2"/>
    </row>
    <row r="23" spans="4:16" x14ac:dyDescent="0.3">
      <c r="D23" s="2"/>
      <c r="E23" s="42">
        <v>3.3</v>
      </c>
      <c r="F23" s="17"/>
      <c r="G23" s="18"/>
      <c r="H23" s="33"/>
      <c r="I23" s="18"/>
      <c r="J23" s="17"/>
      <c r="K23" s="1" t="s">
        <v>22</v>
      </c>
      <c r="L23" s="17"/>
      <c r="M23" s="1" t="s">
        <v>32</v>
      </c>
      <c r="N23" s="17"/>
      <c r="O23" s="9" t="str">
        <f>_xlfn.TEXTJOIN(" ",1,K22,K21,K23)</f>
        <v>ARC   Nagpur</v>
      </c>
      <c r="P23" s="2"/>
    </row>
    <row r="24" spans="4:16" x14ac:dyDescent="0.3">
      <c r="D24" s="2"/>
      <c r="E24" s="42">
        <v>3.4</v>
      </c>
      <c r="F24" s="17"/>
      <c r="G24" s="18"/>
      <c r="H24" s="33"/>
      <c r="I24" s="18"/>
      <c r="J24" s="17"/>
      <c r="K24" s="1" t="s">
        <v>24</v>
      </c>
      <c r="L24" s="17"/>
      <c r="M24" s="1" t="s">
        <v>33</v>
      </c>
      <c r="N24" s="17"/>
      <c r="O24" s="9" t="str">
        <f>_xlfn.TEXTJOIN("-",0,K22,K23,K21,K24)</f>
        <v>ARC-Nagpur- -DA30</v>
      </c>
      <c r="P24" s="2"/>
    </row>
    <row r="25" spans="4:16" x14ac:dyDescent="0.3">
      <c r="D25" s="2"/>
      <c r="E25" s="43">
        <v>3.5</v>
      </c>
      <c r="F25" s="23"/>
      <c r="G25" s="24"/>
      <c r="H25" s="44"/>
      <c r="I25" s="24"/>
      <c r="J25" s="23"/>
      <c r="K25" s="22" t="s">
        <v>26</v>
      </c>
      <c r="L25" s="23"/>
      <c r="M25" s="22" t="s">
        <v>34</v>
      </c>
      <c r="N25" s="23"/>
      <c r="O25" s="28" t="str">
        <f>_xlfn.TEXTJOIN("_",0,K22,K23,K21,K24)</f>
        <v>ARC_Nagpur_ _DA30</v>
      </c>
      <c r="P25" s="2"/>
    </row>
    <row r="26" spans="4:16" x14ac:dyDescent="0.3">
      <c r="D26" s="2"/>
      <c r="E26" s="45"/>
      <c r="F26" s="18"/>
      <c r="G26" s="18"/>
      <c r="H26" s="18"/>
      <c r="I26" s="18"/>
      <c r="J26" s="18"/>
      <c r="K26" s="18"/>
      <c r="L26" s="18"/>
      <c r="M26" s="18"/>
      <c r="N26" s="18"/>
      <c r="O26" s="46"/>
      <c r="P26" s="2"/>
    </row>
    <row r="27" spans="4:16" x14ac:dyDescent="0.3">
      <c r="D27" s="2"/>
      <c r="E27" s="39">
        <v>4.0999999999999996</v>
      </c>
      <c r="F27" s="11"/>
      <c r="G27" s="47" t="s">
        <v>35</v>
      </c>
      <c r="H27" s="31"/>
      <c r="I27" s="41" t="s">
        <v>36</v>
      </c>
      <c r="J27" s="11"/>
      <c r="K27" s="10" t="str">
        <f>"Ayush" &amp; CHAR(10) &amp; "Mendhe"</f>
        <v>Ayush
Mendhe</v>
      </c>
      <c r="L27" s="11"/>
      <c r="M27" s="10" t="s">
        <v>37</v>
      </c>
      <c r="N27" s="11"/>
      <c r="O27" s="16" t="str">
        <f t="shared" ref="O27:O31" si="0">CLEAN(K27)</f>
        <v>AyushMendhe</v>
      </c>
      <c r="P27" s="2"/>
    </row>
    <row r="28" spans="4:16" x14ac:dyDescent="0.3">
      <c r="D28" s="2"/>
      <c r="E28" s="42">
        <v>4.2</v>
      </c>
      <c r="F28" s="17"/>
      <c r="G28" s="18"/>
      <c r="H28" s="33"/>
      <c r="I28" s="18"/>
      <c r="J28" s="17"/>
      <c r="K28" s="1" t="str">
        <f>CHAR(10)&amp;"Ayush"&amp;CHAR(10)</f>
        <v xml:space="preserve">
Ayush
</v>
      </c>
      <c r="L28" s="17"/>
      <c r="M28" s="1" t="s">
        <v>38</v>
      </c>
      <c r="N28" s="17"/>
      <c r="O28" s="9" t="str">
        <f t="shared" si="0"/>
        <v>Ayush</v>
      </c>
      <c r="P28" s="2"/>
    </row>
    <row r="29" spans="4:16" x14ac:dyDescent="0.3">
      <c r="D29" s="2"/>
      <c r="E29" s="42">
        <v>4.3</v>
      </c>
      <c r="F29" s="17"/>
      <c r="G29" s="18"/>
      <c r="H29" s="33"/>
      <c r="I29" s="18"/>
      <c r="J29" s="17"/>
      <c r="K29" s="1" t="str">
        <f>CHAR(10)&amp;"ARC"&amp;"Nagpur"&amp;CHAR(10)&amp;"DA30"</f>
        <v xml:space="preserve">
ARCNagpur
DA30</v>
      </c>
      <c r="L29" s="17"/>
      <c r="M29" s="1" t="s">
        <v>39</v>
      </c>
      <c r="N29" s="17"/>
      <c r="O29" s="9" t="str">
        <f t="shared" si="0"/>
        <v>ARCNagpurDA30</v>
      </c>
      <c r="P29" s="2"/>
    </row>
    <row r="30" spans="4:16" x14ac:dyDescent="0.3">
      <c r="D30" s="2"/>
      <c r="E30" s="42">
        <v>4.4000000000000004</v>
      </c>
      <c r="F30" s="17"/>
      <c r="G30" s="18"/>
      <c r="H30" s="33"/>
      <c r="I30" s="18"/>
      <c r="J30" s="17"/>
      <c r="K30" s="1" t="str">
        <f>CHAR(10)&amp;"ARC"&amp;CHAR(10)&amp;"Nagpur"&amp;"DA30"</f>
        <v xml:space="preserve">
ARC
NagpurDA30</v>
      </c>
      <c r="L30" s="17"/>
      <c r="M30" s="1" t="s">
        <v>40</v>
      </c>
      <c r="N30" s="17"/>
      <c r="O30" s="9" t="str">
        <f t="shared" si="0"/>
        <v>ARCNagpurDA30</v>
      </c>
      <c r="P30" s="2"/>
    </row>
    <row r="31" spans="4:16" x14ac:dyDescent="0.3">
      <c r="D31" s="2"/>
      <c r="E31" s="43">
        <v>4.5</v>
      </c>
      <c r="F31" s="23"/>
      <c r="G31" s="24"/>
      <c r="H31" s="44"/>
      <c r="I31" s="24"/>
      <c r="J31" s="23"/>
      <c r="K31" s="22" t="str">
        <f>"ARC"&amp;CHAR(10)&amp;"Nagpur"&amp;"DA30"</f>
        <v>ARC
NagpurDA30</v>
      </c>
      <c r="L31" s="23"/>
      <c r="M31" s="22" t="s">
        <v>41</v>
      </c>
      <c r="N31" s="23"/>
      <c r="O31" s="28" t="str">
        <f t="shared" si="0"/>
        <v>ARCNagpurDA30</v>
      </c>
      <c r="P31" s="2"/>
    </row>
    <row r="32" spans="4:16" x14ac:dyDescent="0.3">
      <c r="D32" s="2"/>
      <c r="E32" s="45"/>
      <c r="F32" s="18"/>
      <c r="G32" s="18"/>
      <c r="H32" s="18"/>
      <c r="I32" s="18"/>
      <c r="J32" s="18"/>
      <c r="K32" s="18"/>
      <c r="L32" s="18"/>
      <c r="M32" s="18"/>
      <c r="N32" s="18"/>
      <c r="O32" s="46"/>
      <c r="P32" s="2"/>
    </row>
    <row r="33" spans="4:16" x14ac:dyDescent="0.3">
      <c r="D33" s="2"/>
      <c r="E33" s="39">
        <v>5.0999999999999996</v>
      </c>
      <c r="F33" s="11"/>
      <c r="G33" s="47" t="s">
        <v>42</v>
      </c>
      <c r="H33" s="31"/>
      <c r="I33" s="41" t="s">
        <v>43</v>
      </c>
      <c r="J33" s="11"/>
      <c r="K33" s="10" t="s">
        <v>44</v>
      </c>
      <c r="L33" s="11"/>
      <c r="M33" s="10" t="s">
        <v>45</v>
      </c>
      <c r="N33" s="11"/>
      <c r="O33" s="16" t="str">
        <f t="shared" ref="O33:O37" si="1">TRIM(K33)</f>
        <v>Ayush Mendhe</v>
      </c>
      <c r="P33" s="2"/>
    </row>
    <row r="34" spans="4:16" x14ac:dyDescent="0.3">
      <c r="D34" s="2"/>
      <c r="E34" s="42">
        <v>5.2</v>
      </c>
      <c r="F34" s="17"/>
      <c r="G34" s="18"/>
      <c r="H34" s="33"/>
      <c r="I34" s="18"/>
      <c r="J34" s="17"/>
      <c r="K34" s="1" t="s">
        <v>46</v>
      </c>
      <c r="L34" s="17"/>
      <c r="M34" s="1" t="s">
        <v>47</v>
      </c>
      <c r="N34" s="17"/>
      <c r="O34" s="9" t="str">
        <f t="shared" si="1"/>
        <v>Data Analytics</v>
      </c>
      <c r="P34" s="2"/>
    </row>
    <row r="35" spans="4:16" x14ac:dyDescent="0.3">
      <c r="D35" s="2"/>
      <c r="E35" s="42">
        <v>5.3</v>
      </c>
      <c r="F35" s="17"/>
      <c r="G35" s="18"/>
      <c r="H35" s="33"/>
      <c r="I35" s="18"/>
      <c r="J35" s="17"/>
      <c r="K35" s="1" t="s">
        <v>48</v>
      </c>
      <c r="L35" s="17"/>
      <c r="M35" s="1" t="s">
        <v>49</v>
      </c>
      <c r="N35" s="17"/>
      <c r="O35" s="9" t="str">
        <f t="shared" si="1"/>
        <v>ARC Nagpur</v>
      </c>
      <c r="P35" s="2"/>
    </row>
    <row r="36" spans="4:16" x14ac:dyDescent="0.3">
      <c r="D36" s="2"/>
      <c r="E36" s="42">
        <v>5.4</v>
      </c>
      <c r="F36" s="17"/>
      <c r="G36" s="18"/>
      <c r="H36" s="33"/>
      <c r="I36" s="18"/>
      <c r="J36" s="17"/>
      <c r="K36" s="1" t="s">
        <v>50</v>
      </c>
      <c r="L36" s="17"/>
      <c r="M36" s="1" t="s">
        <v>51</v>
      </c>
      <c r="N36" s="17"/>
      <c r="O36" s="9" t="str">
        <f t="shared" si="1"/>
        <v>DA 30</v>
      </c>
      <c r="P36" s="2"/>
    </row>
    <row r="37" spans="4:16" x14ac:dyDescent="0.3">
      <c r="D37" s="2"/>
      <c r="E37" s="43">
        <v>5.5</v>
      </c>
      <c r="F37" s="23"/>
      <c r="G37" s="24"/>
      <c r="H37" s="44"/>
      <c r="I37" s="24"/>
      <c r="J37" s="23"/>
      <c r="K37" s="22" t="s">
        <v>52</v>
      </c>
      <c r="L37" s="23"/>
      <c r="M37" s="22" t="s">
        <v>53</v>
      </c>
      <c r="N37" s="23"/>
      <c r="O37" s="28" t="str">
        <f t="shared" si="1"/>
        <v>Abc Xyz</v>
      </c>
      <c r="P37" s="2"/>
    </row>
    <row r="38" spans="4:16" x14ac:dyDescent="0.3">
      <c r="D38" s="2"/>
      <c r="E38" s="45"/>
      <c r="F38" s="18"/>
      <c r="G38" s="18"/>
      <c r="H38" s="18"/>
      <c r="I38" s="18"/>
      <c r="J38" s="18"/>
      <c r="K38" s="18"/>
      <c r="L38" s="18"/>
      <c r="M38" s="18"/>
      <c r="N38" s="18"/>
      <c r="O38" s="46"/>
      <c r="P38" s="2"/>
    </row>
    <row r="39" spans="4:16" x14ac:dyDescent="0.3">
      <c r="D39" s="2"/>
      <c r="E39" s="39">
        <v>6.1</v>
      </c>
      <c r="F39" s="11"/>
      <c r="G39" s="47" t="s">
        <v>54</v>
      </c>
      <c r="H39" s="31"/>
      <c r="I39" s="41" t="s">
        <v>55</v>
      </c>
      <c r="J39" s="11"/>
      <c r="K39" s="10" t="s">
        <v>56</v>
      </c>
      <c r="L39" s="11"/>
      <c r="M39" s="10" t="s">
        <v>57</v>
      </c>
      <c r="N39" s="11"/>
      <c r="O39" s="16">
        <f>FIND("a",K39,4)</f>
        <v>7</v>
      </c>
      <c r="P39" s="2"/>
    </row>
    <row r="40" spans="4:16" x14ac:dyDescent="0.3">
      <c r="D40" s="2"/>
      <c r="E40" s="42">
        <v>6.2</v>
      </c>
      <c r="F40" s="17"/>
      <c r="G40" s="18"/>
      <c r="H40" s="33"/>
      <c r="I40" s="18"/>
      <c r="J40" s="17"/>
      <c r="K40" s="1" t="s">
        <v>56</v>
      </c>
      <c r="L40" s="17"/>
      <c r="M40" s="1" t="s">
        <v>58</v>
      </c>
      <c r="N40" s="17"/>
      <c r="O40" s="9">
        <f>FIND("a",K40,1)</f>
        <v>2</v>
      </c>
      <c r="P40" s="2"/>
    </row>
    <row r="41" spans="4:16" x14ac:dyDescent="0.3">
      <c r="D41" s="2"/>
      <c r="E41" s="42">
        <v>6.3</v>
      </c>
      <c r="F41" s="17"/>
      <c r="G41" s="18"/>
      <c r="H41" s="33"/>
      <c r="I41" s="18"/>
      <c r="J41" s="17"/>
      <c r="K41" s="1" t="s">
        <v>59</v>
      </c>
      <c r="L41" s="17"/>
      <c r="M41" s="1" t="s">
        <v>60</v>
      </c>
      <c r="N41" s="17"/>
      <c r="O41" s="9" t="e">
        <f t="shared" ref="O41:O42" si="2">FIND("go",K41,1)</f>
        <v>#VALUE!</v>
      </c>
      <c r="P41" s="2"/>
    </row>
    <row r="42" spans="4:16" x14ac:dyDescent="0.3">
      <c r="D42" s="2"/>
      <c r="E42" s="42">
        <v>6.4</v>
      </c>
      <c r="F42" s="17"/>
      <c r="G42" s="18"/>
      <c r="H42" s="33"/>
      <c r="I42" s="18"/>
      <c r="J42" s="17"/>
      <c r="K42" s="1" t="s">
        <v>61</v>
      </c>
      <c r="L42" s="17"/>
      <c r="M42" s="1" t="s">
        <v>62</v>
      </c>
      <c r="N42" s="17"/>
      <c r="O42" s="9">
        <f t="shared" si="2"/>
        <v>1</v>
      </c>
      <c r="P42" s="2"/>
    </row>
    <row r="43" spans="4:16" x14ac:dyDescent="0.3">
      <c r="D43" s="2"/>
      <c r="E43" s="43">
        <v>6.5</v>
      </c>
      <c r="F43" s="23"/>
      <c r="G43" s="24"/>
      <c r="H43" s="44"/>
      <c r="I43" s="24"/>
      <c r="J43" s="23"/>
      <c r="K43" s="22" t="s">
        <v>63</v>
      </c>
      <c r="L43" s="23"/>
      <c r="M43" s="22" t="s">
        <v>64</v>
      </c>
      <c r="N43" s="23"/>
      <c r="O43" s="28">
        <f>FIND("ta",K43,2)</f>
        <v>3</v>
      </c>
      <c r="P43" s="2"/>
    </row>
    <row r="44" spans="4:16" x14ac:dyDescent="0.3">
      <c r="D44" s="2"/>
      <c r="E44" s="45"/>
      <c r="F44" s="18"/>
      <c r="G44" s="18"/>
      <c r="H44" s="18"/>
      <c r="I44" s="18"/>
      <c r="J44" s="18"/>
      <c r="K44" s="18"/>
      <c r="L44" s="18"/>
      <c r="M44" s="18"/>
      <c r="N44" s="18"/>
      <c r="O44" s="46"/>
      <c r="P44" s="2"/>
    </row>
    <row r="45" spans="4:16" x14ac:dyDescent="0.3">
      <c r="D45" s="2"/>
      <c r="E45" s="39">
        <v>7.1</v>
      </c>
      <c r="F45" s="11"/>
      <c r="G45" s="47" t="s">
        <v>65</v>
      </c>
      <c r="H45" s="31"/>
      <c r="I45" s="41" t="s">
        <v>66</v>
      </c>
      <c r="J45" s="11"/>
      <c r="K45" s="10" t="s">
        <v>59</v>
      </c>
      <c r="L45" s="11"/>
      <c r="M45" s="10" t="s">
        <v>67</v>
      </c>
      <c r="N45" s="11"/>
      <c r="O45" s="16">
        <f t="shared" ref="O45:O46" si="3">SEARCH("go",K45,1)</f>
        <v>1</v>
      </c>
      <c r="P45" s="2"/>
    </row>
    <row r="46" spans="4:16" x14ac:dyDescent="0.3">
      <c r="D46" s="2"/>
      <c r="E46" s="42">
        <v>7.2</v>
      </c>
      <c r="F46" s="17"/>
      <c r="G46" s="18"/>
      <c r="H46" s="33"/>
      <c r="I46" s="18"/>
      <c r="J46" s="17"/>
      <c r="K46" s="1" t="s">
        <v>61</v>
      </c>
      <c r="L46" s="17"/>
      <c r="M46" s="1" t="s">
        <v>68</v>
      </c>
      <c r="N46" s="17"/>
      <c r="O46" s="9">
        <f t="shared" si="3"/>
        <v>1</v>
      </c>
      <c r="P46" s="2"/>
    </row>
    <row r="47" spans="4:16" x14ac:dyDescent="0.3">
      <c r="D47" s="2"/>
      <c r="E47" s="42">
        <v>7.3</v>
      </c>
      <c r="F47" s="17"/>
      <c r="G47" s="18"/>
      <c r="H47" s="33"/>
      <c r="I47" s="18"/>
      <c r="J47" s="17"/>
      <c r="K47" s="1" t="s">
        <v>69</v>
      </c>
      <c r="L47" s="17"/>
      <c r="M47" s="1" t="s">
        <v>70</v>
      </c>
      <c r="N47" s="17"/>
      <c r="O47" s="9" t="e">
        <f>SEARCH("go",K47,2)</f>
        <v>#VALUE!</v>
      </c>
      <c r="P47" s="2"/>
    </row>
    <row r="48" spans="4:16" x14ac:dyDescent="0.3">
      <c r="D48" s="2"/>
      <c r="E48" s="42">
        <v>7.4</v>
      </c>
      <c r="F48" s="17"/>
      <c r="G48" s="18"/>
      <c r="H48" s="33"/>
      <c r="I48" s="18"/>
      <c r="J48" s="17"/>
      <c r="K48" s="1" t="s">
        <v>71</v>
      </c>
      <c r="L48" s="17"/>
      <c r="M48" s="1" t="s">
        <v>72</v>
      </c>
      <c r="N48" s="17"/>
      <c r="O48" s="9">
        <f>SEARCH("ro",K48,3)</f>
        <v>4</v>
      </c>
      <c r="P48" s="2"/>
    </row>
    <row r="49" spans="4:16" x14ac:dyDescent="0.3">
      <c r="D49" s="2"/>
      <c r="E49" s="43">
        <v>7.5</v>
      </c>
      <c r="F49" s="23"/>
      <c r="G49" s="24"/>
      <c r="H49" s="44"/>
      <c r="I49" s="24"/>
      <c r="J49" s="23"/>
      <c r="K49" s="22" t="s">
        <v>71</v>
      </c>
      <c r="L49" s="23"/>
      <c r="M49" s="22" t="s">
        <v>73</v>
      </c>
      <c r="N49" s="23"/>
      <c r="O49" s="28">
        <f>SEARCH("ro",K49,5)</f>
        <v>7</v>
      </c>
      <c r="P49" s="2"/>
    </row>
    <row r="50" spans="4:16" x14ac:dyDescent="0.3">
      <c r="D50" s="2"/>
      <c r="E50" s="45"/>
      <c r="F50" s="18"/>
      <c r="G50" s="18"/>
      <c r="H50" s="18"/>
      <c r="I50" s="18"/>
      <c r="J50" s="18"/>
      <c r="K50" s="18"/>
      <c r="L50" s="18"/>
      <c r="M50" s="18"/>
      <c r="N50" s="18"/>
      <c r="O50" s="46"/>
      <c r="P50" s="2"/>
    </row>
    <row r="51" spans="4:16" x14ac:dyDescent="0.3">
      <c r="D51" s="2"/>
      <c r="E51" s="39">
        <v>8.1</v>
      </c>
      <c r="F51" s="11"/>
      <c r="G51" s="47" t="s">
        <v>74</v>
      </c>
      <c r="H51" s="31"/>
      <c r="I51" s="41" t="s">
        <v>75</v>
      </c>
      <c r="J51" s="11"/>
      <c r="K51" s="10" t="s">
        <v>76</v>
      </c>
      <c r="L51" s="11"/>
      <c r="M51" s="10" t="s">
        <v>77</v>
      </c>
      <c r="N51" s="11"/>
      <c r="O51" s="16" t="str">
        <f>REPLACE(K51,2,4,"a")</f>
        <v>Aa-ARC1</v>
      </c>
      <c r="P51" s="2"/>
    </row>
    <row r="52" spans="4:16" x14ac:dyDescent="0.3">
      <c r="D52" s="2"/>
      <c r="E52" s="42">
        <v>8.1999999999999993</v>
      </c>
      <c r="F52" s="17"/>
      <c r="G52" s="18"/>
      <c r="H52" s="33"/>
      <c r="I52" s="18"/>
      <c r="J52" s="17"/>
      <c r="K52" s="1" t="s">
        <v>78</v>
      </c>
      <c r="L52" s="17"/>
      <c r="M52" s="1" t="s">
        <v>79</v>
      </c>
      <c r="N52" s="17"/>
      <c r="O52" s="9" t="str">
        <f>REPLACE(K52,2,4,"ta")</f>
        <v>Btaa</v>
      </c>
      <c r="P52" s="2"/>
    </row>
    <row r="53" spans="4:16" x14ac:dyDescent="0.3">
      <c r="D53" s="2"/>
      <c r="E53" s="42">
        <v>8.3000000000000007</v>
      </c>
      <c r="F53" s="17"/>
      <c r="G53" s="18"/>
      <c r="H53" s="33"/>
      <c r="I53" s="18"/>
      <c r="J53" s="17"/>
      <c r="K53" s="1" t="s">
        <v>78</v>
      </c>
      <c r="L53" s="17"/>
      <c r="M53" s="1" t="s">
        <v>80</v>
      </c>
      <c r="N53" s="17"/>
      <c r="O53" s="9" t="str">
        <f>REPLACE(K53,3,4,"ta")</f>
        <v>Bata</v>
      </c>
      <c r="P53" s="2"/>
    </row>
    <row r="54" spans="4:16" x14ac:dyDescent="0.3">
      <c r="D54" s="2"/>
      <c r="E54" s="42">
        <v>8.4</v>
      </c>
      <c r="F54" s="17"/>
      <c r="G54" s="18"/>
      <c r="H54" s="33"/>
      <c r="I54" s="18"/>
      <c r="J54" s="17"/>
      <c r="K54" s="1" t="s">
        <v>78</v>
      </c>
      <c r="L54" s="17"/>
      <c r="M54" s="1" t="s">
        <v>81</v>
      </c>
      <c r="N54" s="17"/>
      <c r="O54" s="9" t="str">
        <f>REPLACE(K54,3,2,"ta")</f>
        <v>Batana</v>
      </c>
      <c r="P54" s="2"/>
    </row>
    <row r="55" spans="4:16" x14ac:dyDescent="0.3">
      <c r="D55" s="2"/>
      <c r="E55" s="43">
        <v>8.5</v>
      </c>
      <c r="F55" s="23"/>
      <c r="G55" s="24"/>
      <c r="H55" s="44"/>
      <c r="I55" s="24"/>
      <c r="J55" s="23"/>
      <c r="K55" s="22" t="s">
        <v>82</v>
      </c>
      <c r="L55" s="23"/>
      <c r="M55" s="22" t="s">
        <v>83</v>
      </c>
      <c r="N55" s="23"/>
      <c r="O55" s="28" t="str">
        <f>REPLACE(K55,7,2,"30")</f>
        <v>ARC-DA30</v>
      </c>
      <c r="P55" s="2"/>
    </row>
    <row r="56" spans="4:16" x14ac:dyDescent="0.3">
      <c r="D56" s="2"/>
      <c r="E56" s="45"/>
      <c r="F56" s="18"/>
      <c r="G56" s="18"/>
      <c r="H56" s="18"/>
      <c r="I56" s="18"/>
      <c r="J56" s="18"/>
      <c r="K56" s="18"/>
      <c r="L56" s="18"/>
      <c r="M56" s="18"/>
      <c r="N56" s="18"/>
      <c r="O56" s="46"/>
      <c r="P56" s="2"/>
    </row>
    <row r="57" spans="4:16" x14ac:dyDescent="0.3">
      <c r="D57" s="2"/>
      <c r="E57" s="39">
        <v>9.1</v>
      </c>
      <c r="F57" s="11"/>
      <c r="G57" s="47" t="s">
        <v>84</v>
      </c>
      <c r="H57" s="31"/>
      <c r="I57" s="41" t="s">
        <v>85</v>
      </c>
      <c r="J57" s="11"/>
      <c r="K57" s="10" t="s">
        <v>76</v>
      </c>
      <c r="L57" s="11"/>
      <c r="M57" s="10" t="s">
        <v>86</v>
      </c>
      <c r="N57" s="11"/>
      <c r="O57" s="16" t="str">
        <f>SUBSTITUTE(K57,"ARC","Arc")</f>
        <v>Ayush-Arc1</v>
      </c>
      <c r="P57" s="2"/>
    </row>
    <row r="58" spans="4:16" x14ac:dyDescent="0.3">
      <c r="D58" s="2"/>
      <c r="E58" s="42">
        <v>9.1999999999999993</v>
      </c>
      <c r="F58" s="17"/>
      <c r="G58" s="18"/>
      <c r="H58" s="33"/>
      <c r="I58" s="18"/>
      <c r="J58" s="17"/>
      <c r="K58" s="1" t="s">
        <v>78</v>
      </c>
      <c r="L58" s="17"/>
      <c r="M58" s="1" t="s">
        <v>87</v>
      </c>
      <c r="N58" s="17"/>
      <c r="O58" s="9" t="str">
        <f>SUBSTITUTE(K58,"na","ta")</f>
        <v>Batata</v>
      </c>
      <c r="P58" s="2"/>
    </row>
    <row r="59" spans="4:16" x14ac:dyDescent="0.3">
      <c r="D59" s="2"/>
      <c r="E59" s="42">
        <v>9.3000000000000007</v>
      </c>
      <c r="F59" s="17"/>
      <c r="G59" s="18"/>
      <c r="H59" s="33"/>
      <c r="I59" s="18"/>
      <c r="J59" s="17"/>
      <c r="K59" s="1" t="s">
        <v>78</v>
      </c>
      <c r="L59" s="17"/>
      <c r="M59" s="1" t="s">
        <v>88</v>
      </c>
      <c r="N59" s="17"/>
      <c r="O59" s="9" t="str">
        <f>SUBSTITUTE(K59,"na","ta",1)</f>
        <v>Batana</v>
      </c>
      <c r="P59" s="2"/>
    </row>
    <row r="60" spans="4:16" x14ac:dyDescent="0.3">
      <c r="D60" s="2"/>
      <c r="E60" s="42">
        <v>9.4</v>
      </c>
      <c r="F60" s="17"/>
      <c r="G60" s="18"/>
      <c r="H60" s="33"/>
      <c r="I60" s="18"/>
      <c r="J60" s="17"/>
      <c r="K60" s="1" t="s">
        <v>78</v>
      </c>
      <c r="L60" s="17"/>
      <c r="M60" s="1" t="s">
        <v>89</v>
      </c>
      <c r="N60" s="17"/>
      <c r="O60" s="9" t="str">
        <f>SUBSTITUTE(K60,"na","ta",2)</f>
        <v>Banata</v>
      </c>
      <c r="P60" s="2"/>
    </row>
    <row r="61" spans="4:16" x14ac:dyDescent="0.3">
      <c r="D61" s="2"/>
      <c r="E61" s="43">
        <v>9.5</v>
      </c>
      <c r="F61" s="23"/>
      <c r="G61" s="24"/>
      <c r="H61" s="44"/>
      <c r="I61" s="24"/>
      <c r="J61" s="23"/>
      <c r="K61" s="22" t="s">
        <v>82</v>
      </c>
      <c r="L61" s="23"/>
      <c r="M61" s="22" t="s">
        <v>90</v>
      </c>
      <c r="N61" s="23"/>
      <c r="O61" s="28" t="e">
        <f>SUBSTITUTE(K61,28,"30",)</f>
        <v>#VALUE!</v>
      </c>
      <c r="P61" s="2"/>
    </row>
    <row r="62" spans="4:16" x14ac:dyDescent="0.3">
      <c r="D62" s="2"/>
      <c r="E62" s="45"/>
      <c r="F62" s="18"/>
      <c r="G62" s="18"/>
      <c r="H62" s="18"/>
      <c r="I62" s="18"/>
      <c r="J62" s="18"/>
      <c r="K62" s="18"/>
      <c r="L62" s="18"/>
      <c r="M62" s="18"/>
      <c r="N62" s="18"/>
      <c r="O62" s="46"/>
      <c r="P62" s="2"/>
    </row>
    <row r="63" spans="4:16" x14ac:dyDescent="0.3">
      <c r="D63" s="2"/>
      <c r="E63" s="39">
        <v>10.1</v>
      </c>
      <c r="F63" s="11"/>
      <c r="G63" s="47" t="s">
        <v>91</v>
      </c>
      <c r="H63" s="31"/>
      <c r="I63" s="41" t="s">
        <v>92</v>
      </c>
      <c r="J63" s="11"/>
      <c r="K63" s="10" t="s">
        <v>93</v>
      </c>
      <c r="L63" s="11"/>
      <c r="M63" s="10" t="s">
        <v>94</v>
      </c>
      <c r="N63" s="11"/>
      <c r="O63" s="16" t="b">
        <f>EXACT(K63,K65)</f>
        <v>1</v>
      </c>
      <c r="P63" s="2"/>
    </row>
    <row r="64" spans="4:16" x14ac:dyDescent="0.3">
      <c r="D64" s="2"/>
      <c r="E64" s="42">
        <v>10.199999999999999</v>
      </c>
      <c r="F64" s="17"/>
      <c r="G64" s="18"/>
      <c r="H64" s="33"/>
      <c r="I64" s="18"/>
      <c r="J64" s="17"/>
      <c r="K64" s="1" t="s">
        <v>95</v>
      </c>
      <c r="L64" s="17"/>
      <c r="M64" s="1" t="s">
        <v>96</v>
      </c>
      <c r="N64" s="17"/>
      <c r="O64" s="9" t="b">
        <f>EXACT(K64,K67)</f>
        <v>0</v>
      </c>
      <c r="P64" s="2"/>
    </row>
    <row r="65" spans="4:16" x14ac:dyDescent="0.3">
      <c r="D65" s="2"/>
      <c r="E65" s="42">
        <v>10.3</v>
      </c>
      <c r="F65" s="17"/>
      <c r="G65" s="18"/>
      <c r="H65" s="33"/>
      <c r="I65" s="18"/>
      <c r="J65" s="17"/>
      <c r="K65" s="1" t="s">
        <v>93</v>
      </c>
      <c r="L65" s="17"/>
      <c r="M65" s="1" t="s">
        <v>97</v>
      </c>
      <c r="N65" s="17"/>
      <c r="O65" s="9" t="b">
        <f>EXACT(K65,K66)</f>
        <v>0</v>
      </c>
      <c r="P65" s="2"/>
    </row>
    <row r="66" spans="4:16" x14ac:dyDescent="0.3">
      <c r="D66" s="2"/>
      <c r="E66" s="42">
        <v>10.4</v>
      </c>
      <c r="F66" s="17"/>
      <c r="G66" s="18"/>
      <c r="H66" s="33"/>
      <c r="I66" s="18"/>
      <c r="J66" s="17"/>
      <c r="K66" s="1" t="s">
        <v>98</v>
      </c>
      <c r="L66" s="17"/>
      <c r="M66" s="1" t="s">
        <v>99</v>
      </c>
      <c r="N66" s="17"/>
      <c r="O66" s="9" t="b">
        <f>EXACT(K66,K63)</f>
        <v>0</v>
      </c>
      <c r="P66" s="2"/>
    </row>
    <row r="67" spans="4:16" x14ac:dyDescent="0.3">
      <c r="D67" s="2"/>
      <c r="E67" s="43">
        <v>10.5</v>
      </c>
      <c r="F67" s="23"/>
      <c r="G67" s="24"/>
      <c r="H67" s="44"/>
      <c r="I67" s="24"/>
      <c r="J67" s="23"/>
      <c r="K67" s="22" t="s">
        <v>100</v>
      </c>
      <c r="L67" s="23"/>
      <c r="M67" s="22" t="s">
        <v>96</v>
      </c>
      <c r="N67" s="23"/>
      <c r="O67" s="28" t="b">
        <f>EXACT(K64,K67)</f>
        <v>0</v>
      </c>
      <c r="P67" s="2"/>
    </row>
    <row r="68" spans="4:16" x14ac:dyDescent="0.3">
      <c r="D68" s="2"/>
      <c r="E68" s="45"/>
      <c r="F68" s="18"/>
      <c r="G68" s="18"/>
      <c r="H68" s="18"/>
      <c r="I68" s="18"/>
      <c r="J68" s="18"/>
      <c r="K68" s="18"/>
      <c r="L68" s="18"/>
      <c r="M68" s="18"/>
      <c r="N68" s="18"/>
      <c r="O68" s="46"/>
      <c r="P68" s="2"/>
    </row>
    <row r="69" spans="4:16" x14ac:dyDescent="0.3">
      <c r="D69" s="2"/>
      <c r="E69" s="39">
        <v>11.1</v>
      </c>
      <c r="F69" s="11"/>
      <c r="G69" s="47" t="s">
        <v>101</v>
      </c>
      <c r="H69" s="31"/>
      <c r="I69" s="41" t="s">
        <v>102</v>
      </c>
      <c r="J69" s="11"/>
      <c r="K69" s="10" t="s">
        <v>59</v>
      </c>
      <c r="L69" s="11"/>
      <c r="M69" s="10" t="s">
        <v>103</v>
      </c>
      <c r="N69" s="11"/>
      <c r="O69" s="16" t="str">
        <f>LEFT(K69,2)</f>
        <v>Go</v>
      </c>
      <c r="P69" s="2"/>
    </row>
    <row r="70" spans="4:16" x14ac:dyDescent="0.3">
      <c r="D70" s="2"/>
      <c r="E70" s="42">
        <v>11.2</v>
      </c>
      <c r="F70" s="17"/>
      <c r="G70" s="18"/>
      <c r="H70" s="33"/>
      <c r="I70" s="18"/>
      <c r="J70" s="17"/>
      <c r="K70" s="1" t="s">
        <v>71</v>
      </c>
      <c r="L70" s="17"/>
      <c r="M70" s="1" t="s">
        <v>104</v>
      </c>
      <c r="N70" s="17"/>
      <c r="O70" s="9" t="str">
        <f>LEFT(K70,5)</f>
        <v>Micro</v>
      </c>
      <c r="P70" s="2"/>
    </row>
    <row r="71" spans="4:16" x14ac:dyDescent="0.3">
      <c r="D71" s="2"/>
      <c r="E71" s="42">
        <v>11.3</v>
      </c>
      <c r="F71" s="17"/>
      <c r="G71" s="18"/>
      <c r="H71" s="33"/>
      <c r="I71" s="18"/>
      <c r="J71" s="17"/>
      <c r="K71" s="1" t="s">
        <v>105</v>
      </c>
      <c r="L71" s="17"/>
      <c r="M71" s="1" t="s">
        <v>106</v>
      </c>
      <c r="N71" s="17"/>
      <c r="O71" s="9" t="str">
        <f>LEFT(K71)</f>
        <v>A</v>
      </c>
      <c r="P71" s="2"/>
    </row>
    <row r="72" spans="4:16" x14ac:dyDescent="0.3">
      <c r="D72" s="2"/>
      <c r="E72" s="42">
        <v>11.4</v>
      </c>
      <c r="F72" s="17"/>
      <c r="G72" s="18"/>
      <c r="H72" s="33"/>
      <c r="I72" s="18"/>
      <c r="J72" s="17"/>
      <c r="K72" s="1" t="s">
        <v>107</v>
      </c>
      <c r="L72" s="17"/>
      <c r="M72" s="1" t="s">
        <v>108</v>
      </c>
      <c r="N72" s="17"/>
      <c r="O72" s="9" t="str">
        <f>LEFT(K72,6)</f>
        <v>Aayush</v>
      </c>
      <c r="P72" s="2"/>
    </row>
    <row r="73" spans="4:16" x14ac:dyDescent="0.3">
      <c r="D73" s="2"/>
      <c r="E73" s="43">
        <v>11.5</v>
      </c>
      <c r="F73" s="23"/>
      <c r="G73" s="24"/>
      <c r="H73" s="44"/>
      <c r="I73" s="24"/>
      <c r="J73" s="23"/>
      <c r="K73" s="22" t="s">
        <v>109</v>
      </c>
      <c r="L73" s="23"/>
      <c r="M73" s="22" t="s">
        <v>110</v>
      </c>
      <c r="N73" s="23"/>
      <c r="O73" s="28" t="str">
        <f>LEFT(K73,5)</f>
        <v>Multi</v>
      </c>
      <c r="P73" s="2"/>
    </row>
    <row r="74" spans="4:16" x14ac:dyDescent="0.3">
      <c r="D74" s="2"/>
      <c r="E74" s="45"/>
      <c r="F74" s="18"/>
      <c r="G74" s="18"/>
      <c r="H74" s="18"/>
      <c r="I74" s="18"/>
      <c r="J74" s="18"/>
      <c r="K74" s="18"/>
      <c r="L74" s="18"/>
      <c r="M74" s="18"/>
      <c r="N74" s="18"/>
      <c r="O74" s="46"/>
      <c r="P74" s="2"/>
    </row>
    <row r="75" spans="4:16" x14ac:dyDescent="0.3">
      <c r="D75" s="2"/>
      <c r="E75" s="39">
        <v>12.1</v>
      </c>
      <c r="F75" s="11"/>
      <c r="G75" s="47" t="s">
        <v>111</v>
      </c>
      <c r="H75" s="31"/>
      <c r="I75" s="41" t="s">
        <v>112</v>
      </c>
      <c r="J75" s="11"/>
      <c r="K75" s="10" t="s">
        <v>109</v>
      </c>
      <c r="L75" s="11"/>
      <c r="M75" s="10" t="s">
        <v>113</v>
      </c>
      <c r="N75" s="11"/>
      <c r="O75" s="16" t="str">
        <f>RIGHT(K75,10)</f>
        <v>processsor</v>
      </c>
      <c r="P75" s="2"/>
    </row>
    <row r="76" spans="4:16" x14ac:dyDescent="0.3">
      <c r="D76" s="2"/>
      <c r="E76" s="42">
        <v>12.2</v>
      </c>
      <c r="F76" s="17"/>
      <c r="G76" s="18"/>
      <c r="H76" s="33"/>
      <c r="I76" s="18"/>
      <c r="J76" s="17"/>
      <c r="K76" s="1" t="s">
        <v>114</v>
      </c>
      <c r="L76" s="17"/>
      <c r="M76" s="1" t="s">
        <v>115</v>
      </c>
      <c r="N76" s="17"/>
      <c r="O76" s="9" t="str">
        <f>RIGHT(K76,5)</f>
        <v>Pixel</v>
      </c>
      <c r="P76" s="2"/>
    </row>
    <row r="77" spans="4:16" x14ac:dyDescent="0.3">
      <c r="D77" s="2"/>
      <c r="E77" s="42">
        <v>12.3</v>
      </c>
      <c r="F77" s="17"/>
      <c r="G77" s="18"/>
      <c r="H77" s="33"/>
      <c r="I77" s="18"/>
      <c r="J77" s="17"/>
      <c r="K77" s="1" t="s">
        <v>105</v>
      </c>
      <c r="L77" s="17"/>
      <c r="M77" s="1" t="s">
        <v>116</v>
      </c>
      <c r="N77" s="17"/>
      <c r="O77" s="9" t="str">
        <f>RIGHT(K77)</f>
        <v>h</v>
      </c>
      <c r="P77" s="2"/>
    </row>
    <row r="78" spans="4:16" x14ac:dyDescent="0.3">
      <c r="D78" s="2"/>
      <c r="E78" s="42">
        <v>12.4</v>
      </c>
      <c r="F78" s="17"/>
      <c r="G78" s="18"/>
      <c r="H78" s="33"/>
      <c r="I78" s="18"/>
      <c r="J78" s="17"/>
      <c r="K78" s="1" t="s">
        <v>107</v>
      </c>
      <c r="L78" s="17"/>
      <c r="M78" s="1" t="s">
        <v>117</v>
      </c>
      <c r="N78" s="17"/>
      <c r="O78" s="9" t="str">
        <f>RIGHT(K78,6)</f>
        <v>ARC123</v>
      </c>
      <c r="P78" s="2"/>
    </row>
    <row r="79" spans="4:16" x14ac:dyDescent="0.3">
      <c r="D79" s="2"/>
      <c r="E79" s="43">
        <v>12.5</v>
      </c>
      <c r="F79" s="23"/>
      <c r="G79" s="24"/>
      <c r="H79" s="44"/>
      <c r="I79" s="24"/>
      <c r="J79" s="23"/>
      <c r="K79" s="22" t="s">
        <v>118</v>
      </c>
      <c r="L79" s="23"/>
      <c r="M79" s="22" t="s">
        <v>119</v>
      </c>
      <c r="N79" s="23"/>
      <c r="O79" s="28" t="str">
        <f>RIGHT(K79,10)</f>
        <v>Billinaire</v>
      </c>
      <c r="P79" s="2"/>
    </row>
    <row r="80" spans="4:16" x14ac:dyDescent="0.3">
      <c r="D80" s="2"/>
      <c r="E80" s="45"/>
      <c r="F80" s="18"/>
      <c r="G80" s="18"/>
      <c r="H80" s="18"/>
      <c r="I80" s="18"/>
      <c r="J80" s="18"/>
      <c r="K80" s="18"/>
      <c r="L80" s="18"/>
      <c r="M80" s="18"/>
      <c r="N80" s="18"/>
      <c r="O80" s="46"/>
      <c r="P80" s="2"/>
    </row>
    <row r="81" spans="4:16" x14ac:dyDescent="0.3">
      <c r="D81" s="2"/>
      <c r="E81" s="39">
        <v>13.1</v>
      </c>
      <c r="F81" s="11"/>
      <c r="G81" s="47" t="s">
        <v>120</v>
      </c>
      <c r="H81" s="31"/>
      <c r="I81" s="41" t="s">
        <v>121</v>
      </c>
      <c r="J81" s="11"/>
      <c r="K81" s="10" t="s">
        <v>59</v>
      </c>
      <c r="L81" s="11"/>
      <c r="M81" s="10" t="s">
        <v>122</v>
      </c>
      <c r="N81" s="11"/>
      <c r="O81" s="16" t="str">
        <f>MID(K81,2,2)</f>
        <v>oo</v>
      </c>
      <c r="P81" s="2"/>
    </row>
    <row r="82" spans="4:16" x14ac:dyDescent="0.3">
      <c r="D82" s="2"/>
      <c r="E82" s="42">
        <v>13.2</v>
      </c>
      <c r="F82" s="17"/>
      <c r="G82" s="18"/>
      <c r="H82" s="33"/>
      <c r="I82" s="18"/>
      <c r="J82" s="17"/>
      <c r="K82" s="1" t="s">
        <v>59</v>
      </c>
      <c r="L82" s="17"/>
      <c r="M82" s="1" t="s">
        <v>123</v>
      </c>
      <c r="N82" s="17"/>
      <c r="O82" s="9" t="str">
        <f>MID(K82,3,2)</f>
        <v>og</v>
      </c>
      <c r="P82" s="2"/>
    </row>
    <row r="83" spans="4:16" x14ac:dyDescent="0.3">
      <c r="D83" s="2"/>
      <c r="E83" s="42">
        <v>13.3</v>
      </c>
      <c r="F83" s="17"/>
      <c r="G83" s="18"/>
      <c r="H83" s="33"/>
      <c r="I83" s="18"/>
      <c r="J83" s="17"/>
      <c r="K83" s="1" t="s">
        <v>71</v>
      </c>
      <c r="L83" s="17"/>
      <c r="M83" s="1" t="s">
        <v>124</v>
      </c>
      <c r="N83" s="17"/>
      <c r="O83" s="9" t="str">
        <f>MID(K83,6,7)</f>
        <v>process</v>
      </c>
      <c r="P83" s="2"/>
    </row>
    <row r="84" spans="4:16" x14ac:dyDescent="0.3">
      <c r="D84" s="2"/>
      <c r="E84" s="42">
        <v>13.4</v>
      </c>
      <c r="F84" s="17"/>
      <c r="G84" s="18"/>
      <c r="H84" s="33"/>
      <c r="I84" s="18"/>
      <c r="J84" s="17"/>
      <c r="K84" s="1" t="s">
        <v>125</v>
      </c>
      <c r="L84" s="17"/>
      <c r="M84" s="1" t="s">
        <v>126</v>
      </c>
      <c r="N84" s="17"/>
      <c r="O84" s="9" t="str">
        <f>MID(K84,4,5)</f>
        <v>sh-AR</v>
      </c>
      <c r="P84" s="2"/>
    </row>
    <row r="85" spans="4:16" x14ac:dyDescent="0.3">
      <c r="D85" s="2"/>
      <c r="E85" s="43">
        <v>13.5</v>
      </c>
      <c r="F85" s="23"/>
      <c r="G85" s="24"/>
      <c r="H85" s="44"/>
      <c r="I85" s="24"/>
      <c r="J85" s="23"/>
      <c r="K85" s="22" t="s">
        <v>127</v>
      </c>
      <c r="L85" s="23"/>
      <c r="M85" s="22" t="s">
        <v>128</v>
      </c>
      <c r="N85" s="23"/>
      <c r="O85" s="28" t="str">
        <f>MID(K85,2,15)</f>
        <v>Ayush 123 .</v>
      </c>
      <c r="P85" s="2"/>
    </row>
    <row r="86" spans="4:16" x14ac:dyDescent="0.3">
      <c r="D86" s="2"/>
      <c r="E86" s="45"/>
      <c r="F86" s="18"/>
      <c r="G86" s="18"/>
      <c r="H86" s="18"/>
      <c r="I86" s="18"/>
      <c r="J86" s="18"/>
      <c r="K86" s="18"/>
      <c r="L86" s="18"/>
      <c r="M86" s="18"/>
      <c r="N86" s="18"/>
      <c r="O86" s="46"/>
      <c r="P86" s="2"/>
    </row>
    <row r="87" spans="4:16" x14ac:dyDescent="0.3">
      <c r="D87" s="2"/>
      <c r="E87" s="39">
        <v>14.1</v>
      </c>
      <c r="F87" s="11"/>
      <c r="G87" s="47" t="s">
        <v>129</v>
      </c>
      <c r="H87" s="31"/>
      <c r="I87" s="41" t="s">
        <v>130</v>
      </c>
      <c r="J87" s="11"/>
      <c r="K87" s="10" t="s">
        <v>59</v>
      </c>
      <c r="L87" s="11"/>
      <c r="M87" s="10" t="s">
        <v>131</v>
      </c>
      <c r="N87" s="11"/>
      <c r="O87" s="16">
        <f t="shared" ref="O87:O91" si="4">LEN(K87)</f>
        <v>6</v>
      </c>
      <c r="P87" s="2"/>
    </row>
    <row r="88" spans="4:16" x14ac:dyDescent="0.3">
      <c r="D88" s="2"/>
      <c r="E88" s="42">
        <v>14.2</v>
      </c>
      <c r="F88" s="17"/>
      <c r="G88" s="18"/>
      <c r="H88" s="33"/>
      <c r="I88" s="18"/>
      <c r="J88" s="17"/>
      <c r="K88" s="1" t="s">
        <v>109</v>
      </c>
      <c r="L88" s="17"/>
      <c r="M88" s="1" t="s">
        <v>132</v>
      </c>
      <c r="N88" s="17"/>
      <c r="O88" s="9">
        <f t="shared" si="4"/>
        <v>15</v>
      </c>
      <c r="P88" s="2"/>
    </row>
    <row r="89" spans="4:16" x14ac:dyDescent="0.3">
      <c r="D89" s="2"/>
      <c r="E89" s="42">
        <v>14.3</v>
      </c>
      <c r="F89" s="17"/>
      <c r="G89" s="18"/>
      <c r="H89" s="33"/>
      <c r="I89" s="18"/>
      <c r="J89" s="17"/>
      <c r="K89" s="1" t="s">
        <v>71</v>
      </c>
      <c r="L89" s="17"/>
      <c r="M89" s="1" t="s">
        <v>133</v>
      </c>
      <c r="N89" s="17"/>
      <c r="O89" s="9">
        <f t="shared" si="4"/>
        <v>14</v>
      </c>
      <c r="P89" s="2"/>
    </row>
    <row r="90" spans="4:16" x14ac:dyDescent="0.3">
      <c r="D90" s="2"/>
      <c r="E90" s="42">
        <v>14.4</v>
      </c>
      <c r="F90" s="17"/>
      <c r="G90" s="18"/>
      <c r="H90" s="33"/>
      <c r="I90" s="18"/>
      <c r="J90" s="17"/>
      <c r="K90" s="1" t="s">
        <v>134</v>
      </c>
      <c r="L90" s="17"/>
      <c r="M90" s="1" t="s">
        <v>135</v>
      </c>
      <c r="N90" s="17"/>
      <c r="O90" s="9">
        <f t="shared" si="4"/>
        <v>7</v>
      </c>
      <c r="P90" s="2"/>
    </row>
    <row r="91" spans="4:16" x14ac:dyDescent="0.3">
      <c r="D91" s="2"/>
      <c r="E91" s="43">
        <v>14.5</v>
      </c>
      <c r="F91" s="23"/>
      <c r="G91" s="24"/>
      <c r="H91" s="44"/>
      <c r="I91" s="24"/>
      <c r="J91" s="23"/>
      <c r="K91" s="22" t="s">
        <v>136</v>
      </c>
      <c r="L91" s="23"/>
      <c r="M91" s="22" t="s">
        <v>137</v>
      </c>
      <c r="N91" s="23"/>
      <c r="O91" s="28">
        <f t="shared" si="4"/>
        <v>12</v>
      </c>
      <c r="P91" s="2"/>
    </row>
    <row r="92" spans="4:16" x14ac:dyDescent="0.3">
      <c r="D92" s="2"/>
      <c r="E92" s="45"/>
      <c r="F92" s="18"/>
      <c r="G92" s="18"/>
      <c r="H92" s="18"/>
      <c r="I92" s="18"/>
      <c r="J92" s="18"/>
      <c r="K92" s="18"/>
      <c r="L92" s="18"/>
      <c r="M92" s="18"/>
      <c r="N92" s="18"/>
      <c r="O92" s="46"/>
      <c r="P92" s="2"/>
    </row>
    <row r="93" spans="4:16" x14ac:dyDescent="0.3">
      <c r="D93" s="2"/>
      <c r="E93" s="39">
        <v>15.1</v>
      </c>
      <c r="F93" s="11"/>
      <c r="G93" s="47" t="s">
        <v>138</v>
      </c>
      <c r="H93" s="31"/>
      <c r="I93" s="41" t="s">
        <v>139</v>
      </c>
      <c r="J93" s="11"/>
      <c r="K93" s="10" t="s">
        <v>105</v>
      </c>
      <c r="L93" s="11"/>
      <c r="M93" s="10" t="s">
        <v>140</v>
      </c>
      <c r="N93" s="11"/>
      <c r="O93" s="16" t="str">
        <f t="shared" ref="O93:O97" si="5">UPPER(K93)</f>
        <v>AYUSH</v>
      </c>
      <c r="P93" s="2"/>
    </row>
    <row r="94" spans="4:16" x14ac:dyDescent="0.3">
      <c r="D94" s="2"/>
      <c r="E94" s="42">
        <v>15.2</v>
      </c>
      <c r="F94" s="17"/>
      <c r="G94" s="18"/>
      <c r="H94" s="33"/>
      <c r="I94" s="18"/>
      <c r="J94" s="17"/>
      <c r="K94" s="1" t="s">
        <v>141</v>
      </c>
      <c r="L94" s="17"/>
      <c r="M94" s="1" t="s">
        <v>142</v>
      </c>
      <c r="N94" s="17"/>
      <c r="O94" s="9" t="str">
        <f t="shared" si="5"/>
        <v>ABCD</v>
      </c>
      <c r="P94" s="2"/>
    </row>
    <row r="95" spans="4:16" x14ac:dyDescent="0.3">
      <c r="D95" s="2"/>
      <c r="E95" s="42">
        <v>15.3</v>
      </c>
      <c r="F95" s="17"/>
      <c r="G95" s="18"/>
      <c r="H95" s="33"/>
      <c r="I95" s="18"/>
      <c r="J95" s="17"/>
      <c r="K95" s="1" t="s">
        <v>143</v>
      </c>
      <c r="L95" s="17"/>
      <c r="M95" s="1" t="s">
        <v>144</v>
      </c>
      <c r="N95" s="17"/>
      <c r="O95" s="9" t="str">
        <f t="shared" si="5"/>
        <v>XYZ</v>
      </c>
      <c r="P95" s="2"/>
    </row>
    <row r="96" spans="4:16" x14ac:dyDescent="0.3">
      <c r="D96" s="2"/>
      <c r="E96" s="42">
        <v>15.4</v>
      </c>
      <c r="F96" s="17"/>
      <c r="G96" s="18"/>
      <c r="H96" s="33"/>
      <c r="I96" s="18"/>
      <c r="J96" s="17"/>
      <c r="K96" s="1" t="s">
        <v>145</v>
      </c>
      <c r="L96" s="17"/>
      <c r="M96" s="1" t="s">
        <v>146</v>
      </c>
      <c r="N96" s="17"/>
      <c r="O96" s="9" t="str">
        <f t="shared" si="5"/>
        <v>QRST</v>
      </c>
      <c r="P96" s="2"/>
    </row>
    <row r="97" spans="4:16" x14ac:dyDescent="0.3">
      <c r="D97" s="2"/>
      <c r="E97" s="43">
        <v>15.5</v>
      </c>
      <c r="F97" s="23"/>
      <c r="G97" s="24"/>
      <c r="H97" s="44"/>
      <c r="I97" s="24"/>
      <c r="J97" s="23"/>
      <c r="K97" s="22" t="s">
        <v>147</v>
      </c>
      <c r="L97" s="23"/>
      <c r="M97" s="22" t="s">
        <v>148</v>
      </c>
      <c r="N97" s="23"/>
      <c r="O97" s="28" t="str">
        <f t="shared" si="5"/>
        <v>MNOP</v>
      </c>
      <c r="P97" s="2"/>
    </row>
    <row r="98" spans="4:16" x14ac:dyDescent="0.3">
      <c r="D98" s="2"/>
      <c r="E98" s="45"/>
      <c r="F98" s="18"/>
      <c r="G98" s="18"/>
      <c r="H98" s="18"/>
      <c r="I98" s="18"/>
      <c r="J98" s="18"/>
      <c r="K98" s="18"/>
      <c r="L98" s="18"/>
      <c r="M98" s="18"/>
      <c r="N98" s="18"/>
      <c r="O98" s="46"/>
      <c r="P98" s="2"/>
    </row>
    <row r="99" spans="4:16" x14ac:dyDescent="0.3">
      <c r="D99" s="2"/>
      <c r="E99" s="39">
        <v>16.100000000000001</v>
      </c>
      <c r="F99" s="11"/>
      <c r="G99" s="47" t="s">
        <v>149</v>
      </c>
      <c r="H99" s="31"/>
      <c r="I99" s="41" t="s">
        <v>150</v>
      </c>
      <c r="J99" s="11"/>
      <c r="K99" s="10" t="s">
        <v>105</v>
      </c>
      <c r="L99" s="11"/>
      <c r="M99" s="10" t="s">
        <v>151</v>
      </c>
      <c r="N99" s="11"/>
      <c r="O99" s="16" t="str">
        <f t="shared" ref="O99:O103" si="6">LOWER(K99)</f>
        <v>ayush</v>
      </c>
      <c r="P99" s="2"/>
    </row>
    <row r="100" spans="4:16" x14ac:dyDescent="0.3">
      <c r="D100" s="2"/>
      <c r="E100" s="42">
        <v>16.2</v>
      </c>
      <c r="F100" s="17"/>
      <c r="G100" s="18"/>
      <c r="H100" s="33"/>
      <c r="I100" s="18"/>
      <c r="J100" s="17"/>
      <c r="K100" s="1" t="s">
        <v>141</v>
      </c>
      <c r="L100" s="17"/>
      <c r="M100" s="1" t="s">
        <v>152</v>
      </c>
      <c r="N100" s="17"/>
      <c r="O100" s="9" t="str">
        <f t="shared" si="6"/>
        <v>abcd</v>
      </c>
      <c r="P100" s="2"/>
    </row>
    <row r="101" spans="4:16" x14ac:dyDescent="0.3">
      <c r="D101" s="2"/>
      <c r="E101" s="42">
        <v>16.3</v>
      </c>
      <c r="F101" s="17"/>
      <c r="G101" s="18"/>
      <c r="H101" s="33"/>
      <c r="I101" s="18"/>
      <c r="J101" s="17"/>
      <c r="K101" s="1" t="s">
        <v>26</v>
      </c>
      <c r="L101" s="17"/>
      <c r="M101" s="1" t="s">
        <v>153</v>
      </c>
      <c r="N101" s="17"/>
      <c r="O101" s="9" t="str">
        <f t="shared" si="6"/>
        <v>xyz</v>
      </c>
      <c r="P101" s="2"/>
    </row>
    <row r="102" spans="4:16" x14ac:dyDescent="0.3">
      <c r="D102" s="2"/>
      <c r="E102" s="42">
        <v>16.399999999999999</v>
      </c>
      <c r="F102" s="17"/>
      <c r="G102" s="18"/>
      <c r="H102" s="33"/>
      <c r="I102" s="18"/>
      <c r="J102" s="17"/>
      <c r="K102" s="1" t="s">
        <v>145</v>
      </c>
      <c r="L102" s="17"/>
      <c r="M102" s="1" t="s">
        <v>154</v>
      </c>
      <c r="N102" s="17"/>
      <c r="O102" s="9" t="str">
        <f t="shared" si="6"/>
        <v>qrst</v>
      </c>
      <c r="P102" s="2"/>
    </row>
    <row r="103" spans="4:16" x14ac:dyDescent="0.3">
      <c r="D103" s="2"/>
      <c r="E103" s="43">
        <v>16.5</v>
      </c>
      <c r="F103" s="23"/>
      <c r="G103" s="24"/>
      <c r="H103" s="44"/>
      <c r="I103" s="24"/>
      <c r="J103" s="23"/>
      <c r="K103" s="22" t="s">
        <v>147</v>
      </c>
      <c r="L103" s="23"/>
      <c r="M103" s="22" t="s">
        <v>155</v>
      </c>
      <c r="N103" s="23"/>
      <c r="O103" s="28" t="str">
        <f t="shared" si="6"/>
        <v>mnop</v>
      </c>
      <c r="P103" s="2"/>
    </row>
    <row r="104" spans="4:16" x14ac:dyDescent="0.3">
      <c r="D104" s="2"/>
      <c r="E104" s="45"/>
      <c r="F104" s="18"/>
      <c r="G104" s="18"/>
      <c r="H104" s="18"/>
      <c r="I104" s="18"/>
      <c r="J104" s="18"/>
      <c r="K104" s="18"/>
      <c r="L104" s="18"/>
      <c r="M104" s="18"/>
      <c r="N104" s="18"/>
      <c r="O104" s="46"/>
      <c r="P104" s="2"/>
    </row>
    <row r="105" spans="4:16" x14ac:dyDescent="0.3">
      <c r="D105" s="2"/>
      <c r="E105" s="39">
        <v>17.100000000000001</v>
      </c>
      <c r="F105" s="11"/>
      <c r="G105" s="47" t="s">
        <v>156</v>
      </c>
      <c r="H105" s="31"/>
      <c r="I105" s="41" t="s">
        <v>157</v>
      </c>
      <c r="J105" s="11"/>
      <c r="K105" s="10" t="s">
        <v>141</v>
      </c>
      <c r="L105" s="11"/>
      <c r="M105" s="10" t="s">
        <v>158</v>
      </c>
      <c r="N105" s="11"/>
      <c r="O105" s="16" t="str">
        <f t="shared" ref="O105:O109" si="7">PROPER(K105)</f>
        <v>Abcd</v>
      </c>
      <c r="P105" s="2"/>
    </row>
    <row r="106" spans="4:16" x14ac:dyDescent="0.3">
      <c r="D106" s="2"/>
      <c r="E106" s="42">
        <v>17.2</v>
      </c>
      <c r="F106" s="17"/>
      <c r="G106" s="18"/>
      <c r="H106" s="33"/>
      <c r="I106" s="18"/>
      <c r="J106" s="17"/>
      <c r="K106" s="1" t="s">
        <v>26</v>
      </c>
      <c r="L106" s="17"/>
      <c r="M106" s="1" t="s">
        <v>159</v>
      </c>
      <c r="N106" s="17"/>
      <c r="O106" s="9" t="str">
        <f t="shared" si="7"/>
        <v>Xyz</v>
      </c>
      <c r="P106" s="2"/>
    </row>
    <row r="107" spans="4:16" x14ac:dyDescent="0.3">
      <c r="D107" s="2"/>
      <c r="E107" s="42">
        <v>17.3</v>
      </c>
      <c r="F107" s="17"/>
      <c r="G107" s="18"/>
      <c r="H107" s="33"/>
      <c r="I107" s="18"/>
      <c r="J107" s="17"/>
      <c r="K107" s="1" t="s">
        <v>143</v>
      </c>
      <c r="L107" s="17"/>
      <c r="M107" s="1" t="s">
        <v>160</v>
      </c>
      <c r="N107" s="17"/>
      <c r="O107" s="9" t="str">
        <f t="shared" si="7"/>
        <v>Xyz</v>
      </c>
      <c r="P107" s="2"/>
    </row>
    <row r="108" spans="4:16" x14ac:dyDescent="0.3">
      <c r="D108" s="2"/>
      <c r="E108" s="42">
        <v>17.399999999999999</v>
      </c>
      <c r="F108" s="17"/>
      <c r="G108" s="18"/>
      <c r="H108" s="33"/>
      <c r="I108" s="18"/>
      <c r="J108" s="17"/>
      <c r="K108" s="1" t="s">
        <v>145</v>
      </c>
      <c r="L108" s="17"/>
      <c r="M108" s="1" t="s">
        <v>161</v>
      </c>
      <c r="N108" s="17"/>
      <c r="O108" s="9" t="str">
        <f t="shared" si="7"/>
        <v>Qrst</v>
      </c>
      <c r="P108" s="2"/>
    </row>
    <row r="109" spans="4:16" x14ac:dyDescent="0.3">
      <c r="D109" s="2"/>
      <c r="E109" s="43">
        <v>17.5</v>
      </c>
      <c r="F109" s="23"/>
      <c r="G109" s="24"/>
      <c r="H109" s="44"/>
      <c r="I109" s="24"/>
      <c r="J109" s="23"/>
      <c r="K109" s="22" t="s">
        <v>147</v>
      </c>
      <c r="L109" s="23"/>
      <c r="M109" s="22" t="s">
        <v>162</v>
      </c>
      <c r="N109" s="23"/>
      <c r="O109" s="28" t="str">
        <f t="shared" si="7"/>
        <v>Mnop</v>
      </c>
      <c r="P109" s="2"/>
    </row>
    <row r="110" spans="4:16" x14ac:dyDescent="0.3">
      <c r="D110" s="2"/>
      <c r="E110" s="45"/>
      <c r="F110" s="18"/>
      <c r="G110" s="18"/>
      <c r="H110" s="18"/>
      <c r="I110" s="18"/>
      <c r="J110" s="18"/>
      <c r="K110" s="18"/>
      <c r="L110" s="18"/>
      <c r="M110" s="18"/>
      <c r="N110" s="18"/>
      <c r="O110" s="46"/>
      <c r="P110" s="2"/>
    </row>
    <row r="111" spans="4:16" x14ac:dyDescent="0.3">
      <c r="D111" s="2"/>
      <c r="E111" s="39">
        <v>18.100000000000001</v>
      </c>
      <c r="F111" s="11"/>
      <c r="G111" s="12" t="s">
        <v>163</v>
      </c>
      <c r="H111" s="31"/>
      <c r="I111" s="41" t="s">
        <v>164</v>
      </c>
      <c r="J111" s="11"/>
      <c r="K111" s="10" t="s">
        <v>165</v>
      </c>
      <c r="L111" s="11"/>
      <c r="M111" s="10" t="s">
        <v>166</v>
      </c>
      <c r="N111" s="11"/>
      <c r="O111" s="16" t="str">
        <f t="shared" ref="O111:O112" si="8">REPT(K111,3)</f>
        <v xml:space="preserve"> ARC  ARC  ARC </v>
      </c>
      <c r="P111" s="2"/>
    </row>
    <row r="112" spans="4:16" x14ac:dyDescent="0.3">
      <c r="D112" s="2"/>
      <c r="E112" s="42">
        <v>18.2</v>
      </c>
      <c r="F112" s="17"/>
      <c r="G112" s="18"/>
      <c r="H112" s="33"/>
      <c r="I112" s="18"/>
      <c r="J112" s="17"/>
      <c r="K112" s="1" t="s">
        <v>167</v>
      </c>
      <c r="L112" s="17"/>
      <c r="M112" s="1" t="s">
        <v>168</v>
      </c>
      <c r="N112" s="17"/>
      <c r="O112" s="9" t="str">
        <f t="shared" si="8"/>
        <v>AbcAbcAbc</v>
      </c>
      <c r="P112" s="2"/>
    </row>
    <row r="113" spans="4:16" x14ac:dyDescent="0.3">
      <c r="D113" s="2"/>
      <c r="E113" s="42">
        <v>18.3</v>
      </c>
      <c r="F113" s="17"/>
      <c r="G113" s="18"/>
      <c r="H113" s="33"/>
      <c r="I113" s="18"/>
      <c r="J113" s="17"/>
      <c r="K113" s="1" t="s">
        <v>169</v>
      </c>
      <c r="L113" s="17"/>
      <c r="M113" s="1" t="s">
        <v>170</v>
      </c>
      <c r="N113" s="17"/>
      <c r="O113" s="9" t="str">
        <f>REPT(K113,5)</f>
        <v>ZyxZyxZyxZyxZyx</v>
      </c>
      <c r="P113" s="2"/>
    </row>
    <row r="114" spans="4:16" x14ac:dyDescent="0.3">
      <c r="D114" s="2"/>
      <c r="E114" s="42">
        <v>18.399999999999999</v>
      </c>
      <c r="F114" s="17"/>
      <c r="G114" s="18"/>
      <c r="H114" s="33"/>
      <c r="I114" s="18"/>
      <c r="J114" s="17"/>
      <c r="K114" s="1" t="s">
        <v>171</v>
      </c>
      <c r="L114" s="17"/>
      <c r="M114" s="1" t="s">
        <v>172</v>
      </c>
      <c r="N114" s="17"/>
      <c r="O114" s="9" t="str">
        <f t="shared" ref="O114:O115" si="9">REPT(K114,4)</f>
        <v xml:space="preserve">Mno Mno Mno Mno </v>
      </c>
      <c r="P114" s="2"/>
    </row>
    <row r="115" spans="4:16" x14ac:dyDescent="0.3">
      <c r="D115" s="2"/>
      <c r="E115" s="48">
        <v>18.5</v>
      </c>
      <c r="F115" s="49"/>
      <c r="G115" s="50"/>
      <c r="H115" s="51"/>
      <c r="I115" s="50"/>
      <c r="J115" s="49"/>
      <c r="K115" s="52" t="s">
        <v>173</v>
      </c>
      <c r="L115" s="49"/>
      <c r="M115" s="52" t="s">
        <v>174</v>
      </c>
      <c r="N115" s="49"/>
      <c r="O115" s="53" t="str">
        <f t="shared" si="9"/>
        <v xml:space="preserve"> Pqr Pqr Pqr Pqr</v>
      </c>
      <c r="P115" s="2"/>
    </row>
    <row r="116" spans="4:16" x14ac:dyDescent="0.3">
      <c r="D116" s="8"/>
      <c r="E116" s="54"/>
      <c r="F116" s="55"/>
      <c r="G116" s="55"/>
      <c r="H116" s="55"/>
      <c r="I116" s="55"/>
      <c r="J116" s="55"/>
      <c r="K116" s="55"/>
      <c r="L116" s="55"/>
      <c r="M116" s="55"/>
      <c r="N116" s="56"/>
      <c r="O116" s="57"/>
      <c r="P116" s="2"/>
    </row>
  </sheetData>
  <mergeCells count="53">
    <mergeCell ref="G105:G109"/>
    <mergeCell ref="I105:I109"/>
    <mergeCell ref="E110:O110"/>
    <mergeCell ref="G111:G115"/>
    <mergeCell ref="I111:I115"/>
    <mergeCell ref="G93:G97"/>
    <mergeCell ref="I93:I97"/>
    <mergeCell ref="E98:O98"/>
    <mergeCell ref="G99:G103"/>
    <mergeCell ref="I99:I103"/>
    <mergeCell ref="E104:O104"/>
    <mergeCell ref="G81:G85"/>
    <mergeCell ref="I81:I85"/>
    <mergeCell ref="E86:O86"/>
    <mergeCell ref="G87:G91"/>
    <mergeCell ref="I87:I91"/>
    <mergeCell ref="E92:O92"/>
    <mergeCell ref="G69:G73"/>
    <mergeCell ref="I69:I73"/>
    <mergeCell ref="E74:O74"/>
    <mergeCell ref="G75:G79"/>
    <mergeCell ref="I75:I79"/>
    <mergeCell ref="E80:O80"/>
    <mergeCell ref="G57:G61"/>
    <mergeCell ref="I57:I61"/>
    <mergeCell ref="E62:O62"/>
    <mergeCell ref="G63:G67"/>
    <mergeCell ref="I63:I67"/>
    <mergeCell ref="E68:O68"/>
    <mergeCell ref="G45:G49"/>
    <mergeCell ref="I45:I49"/>
    <mergeCell ref="E50:O50"/>
    <mergeCell ref="G51:G55"/>
    <mergeCell ref="I51:I55"/>
    <mergeCell ref="E56:O56"/>
    <mergeCell ref="G33:G37"/>
    <mergeCell ref="I33:I37"/>
    <mergeCell ref="E38:O38"/>
    <mergeCell ref="G39:G43"/>
    <mergeCell ref="I39:I43"/>
    <mergeCell ref="E44:O44"/>
    <mergeCell ref="G21:G25"/>
    <mergeCell ref="I21:I25"/>
    <mergeCell ref="E26:O26"/>
    <mergeCell ref="G27:G31"/>
    <mergeCell ref="I27:I31"/>
    <mergeCell ref="E32:O32"/>
    <mergeCell ref="G9:G13"/>
    <mergeCell ref="I9:I13"/>
    <mergeCell ref="E14:O14"/>
    <mergeCell ref="G15:G19"/>
    <mergeCell ref="I16:I19"/>
    <mergeCell ref="E20:O20"/>
  </mergeCells>
  <hyperlinks>
    <hyperlink ref="E7" r:id="rId1" xr:uid="{D233B3BB-13FF-4976-B2DC-751F6BA836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Text_Methods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MENDHE</dc:creator>
  <cp:lastModifiedBy>AYUSH MENDHE</cp:lastModifiedBy>
  <dcterms:created xsi:type="dcterms:W3CDTF">2015-06-05T18:17:20Z</dcterms:created>
  <dcterms:modified xsi:type="dcterms:W3CDTF">2026-03-15T17:53:43Z</dcterms:modified>
</cp:coreProperties>
</file>